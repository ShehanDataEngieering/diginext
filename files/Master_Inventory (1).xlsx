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avishka/Desktop/Inventory/"/>
    </mc:Choice>
  </mc:AlternateContent>
  <xr:revisionPtr revIDLastSave="0" documentId="13_ncr:1_{676458BC-AB61-1247-8A0B-903F527FF193}" xr6:coauthVersionLast="47" xr6:coauthVersionMax="47" xr10:uidLastSave="{00000000-0000-0000-0000-000000000000}"/>
  <bookViews>
    <workbookView xWindow="0" yWindow="600" windowWidth="16380" windowHeight="8200" tabRatio="500" activeTab="9" xr2:uid="{00000000-000D-0000-FFFF-FFFF00000000}"/>
  </bookViews>
  <sheets>
    <sheet name="Main Inventory" sheetId="1" r:id="rId1"/>
    <sheet name="At North Copenhagen" sheetId="2" r:id="rId2"/>
    <sheet name="GVX 03 - Gavle" sheetId="3" r:id="rId3"/>
    <sheet name="Conapto S4" sheetId="4" r:id="rId4"/>
    <sheet name="New Project 1" sheetId="5" r:id="rId5"/>
    <sheet name="New Project 2" sheetId="6" r:id="rId6"/>
    <sheet name="New Project 3" sheetId="7" r:id="rId7"/>
    <sheet name="New Project 4" sheetId="8" r:id="rId8"/>
    <sheet name="New Project 5" sheetId="9" r:id="rId9"/>
    <sheet name="Item Movement Log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5" i="10" l="1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E44" i="9"/>
  <c r="D44" i="9"/>
  <c r="G43" i="9"/>
  <c r="F43" i="9"/>
  <c r="F42" i="9"/>
  <c r="G42" i="9" s="1"/>
  <c r="G41" i="9"/>
  <c r="F41" i="9"/>
  <c r="G39" i="9"/>
  <c r="F39" i="9"/>
  <c r="F38" i="9"/>
  <c r="G38" i="9" s="1"/>
  <c r="G37" i="9"/>
  <c r="F37" i="9"/>
  <c r="G36" i="9"/>
  <c r="F36" i="9"/>
  <c r="F35" i="9"/>
  <c r="G35" i="9" s="1"/>
  <c r="G34" i="9"/>
  <c r="F34" i="9"/>
  <c r="G33" i="9"/>
  <c r="F33" i="9"/>
  <c r="F31" i="9"/>
  <c r="G31" i="9" s="1"/>
  <c r="G30" i="9"/>
  <c r="F30" i="9"/>
  <c r="G29" i="9"/>
  <c r="F29" i="9"/>
  <c r="F28" i="9"/>
  <c r="G28" i="9" s="1"/>
  <c r="G27" i="9"/>
  <c r="F27" i="9"/>
  <c r="G26" i="9"/>
  <c r="F26" i="9"/>
  <c r="F25" i="9"/>
  <c r="G25" i="9" s="1"/>
  <c r="G24" i="9"/>
  <c r="F24" i="9"/>
  <c r="G23" i="9"/>
  <c r="F23" i="9"/>
  <c r="F22" i="9"/>
  <c r="G22" i="9" s="1"/>
  <c r="G21" i="9"/>
  <c r="F21" i="9"/>
  <c r="G20" i="9"/>
  <c r="F20" i="9"/>
  <c r="F18" i="9"/>
  <c r="G18" i="9" s="1"/>
  <c r="G17" i="9"/>
  <c r="F17" i="9"/>
  <c r="G16" i="9"/>
  <c r="F16" i="9"/>
  <c r="F15" i="9"/>
  <c r="G15" i="9" s="1"/>
  <c r="G14" i="9"/>
  <c r="F14" i="9"/>
  <c r="G13" i="9"/>
  <c r="F13" i="9"/>
  <c r="F12" i="9"/>
  <c r="G12" i="9" s="1"/>
  <c r="G11" i="9"/>
  <c r="F11" i="9"/>
  <c r="G10" i="9"/>
  <c r="F10" i="9"/>
  <c r="F9" i="9"/>
  <c r="G9" i="9" s="1"/>
  <c r="G7" i="9"/>
  <c r="F7" i="9"/>
  <c r="G6" i="9"/>
  <c r="F6" i="9"/>
  <c r="F5" i="9"/>
  <c r="F44" i="9" s="1"/>
  <c r="E44" i="8"/>
  <c r="D44" i="8"/>
  <c r="F43" i="8"/>
  <c r="G43" i="8" s="1"/>
  <c r="F42" i="8"/>
  <c r="G42" i="8" s="1"/>
  <c r="G41" i="8"/>
  <c r="F41" i="8"/>
  <c r="F39" i="8"/>
  <c r="G39" i="8" s="1"/>
  <c r="F38" i="8"/>
  <c r="G38" i="8" s="1"/>
  <c r="G37" i="8"/>
  <c r="F37" i="8"/>
  <c r="F36" i="8"/>
  <c r="G36" i="8" s="1"/>
  <c r="F35" i="8"/>
  <c r="G35" i="8" s="1"/>
  <c r="G34" i="8"/>
  <c r="F34" i="8"/>
  <c r="F33" i="8"/>
  <c r="G33" i="8" s="1"/>
  <c r="F31" i="8"/>
  <c r="G31" i="8" s="1"/>
  <c r="G30" i="8"/>
  <c r="F30" i="8"/>
  <c r="F29" i="8"/>
  <c r="G29" i="8" s="1"/>
  <c r="F28" i="8"/>
  <c r="G28" i="8" s="1"/>
  <c r="G27" i="8"/>
  <c r="F27" i="8"/>
  <c r="F26" i="8"/>
  <c r="G26" i="8" s="1"/>
  <c r="F25" i="8"/>
  <c r="G25" i="8" s="1"/>
  <c r="G24" i="8"/>
  <c r="F24" i="8"/>
  <c r="F23" i="8"/>
  <c r="G23" i="8" s="1"/>
  <c r="F22" i="8"/>
  <c r="G22" i="8" s="1"/>
  <c r="G21" i="8"/>
  <c r="F21" i="8"/>
  <c r="F20" i="8"/>
  <c r="G20" i="8" s="1"/>
  <c r="F18" i="8"/>
  <c r="G18" i="8" s="1"/>
  <c r="G17" i="8"/>
  <c r="F17" i="8"/>
  <c r="F16" i="8"/>
  <c r="G16" i="8" s="1"/>
  <c r="F15" i="8"/>
  <c r="G15" i="8" s="1"/>
  <c r="G14" i="8"/>
  <c r="F14" i="8"/>
  <c r="F13" i="8"/>
  <c r="G13" i="8" s="1"/>
  <c r="F12" i="8"/>
  <c r="G12" i="8" s="1"/>
  <c r="G11" i="8"/>
  <c r="F11" i="8"/>
  <c r="F10" i="8"/>
  <c r="G10" i="8" s="1"/>
  <c r="F9" i="8"/>
  <c r="G9" i="8" s="1"/>
  <c r="G7" i="8"/>
  <c r="F7" i="8"/>
  <c r="F6" i="8"/>
  <c r="G6" i="8" s="1"/>
  <c r="F5" i="8"/>
  <c r="G5" i="8" s="1"/>
  <c r="E44" i="7"/>
  <c r="D44" i="7"/>
  <c r="F43" i="7"/>
  <c r="G43" i="7" s="1"/>
  <c r="G42" i="7"/>
  <c r="F42" i="7"/>
  <c r="F41" i="7"/>
  <c r="G41" i="7" s="1"/>
  <c r="F39" i="7"/>
  <c r="G39" i="7" s="1"/>
  <c r="G38" i="7"/>
  <c r="F38" i="7"/>
  <c r="F37" i="7"/>
  <c r="G37" i="7" s="1"/>
  <c r="F36" i="7"/>
  <c r="G36" i="7" s="1"/>
  <c r="G35" i="7"/>
  <c r="F35" i="7"/>
  <c r="F34" i="7"/>
  <c r="G34" i="7" s="1"/>
  <c r="F33" i="7"/>
  <c r="G33" i="7" s="1"/>
  <c r="G31" i="7"/>
  <c r="F31" i="7"/>
  <c r="F30" i="7"/>
  <c r="G30" i="7" s="1"/>
  <c r="F29" i="7"/>
  <c r="G29" i="7" s="1"/>
  <c r="G28" i="7"/>
  <c r="F28" i="7"/>
  <c r="F27" i="7"/>
  <c r="G27" i="7" s="1"/>
  <c r="F26" i="7"/>
  <c r="G26" i="7" s="1"/>
  <c r="G25" i="7"/>
  <c r="F25" i="7"/>
  <c r="F24" i="7"/>
  <c r="G24" i="7" s="1"/>
  <c r="F23" i="7"/>
  <c r="G23" i="7" s="1"/>
  <c r="G22" i="7"/>
  <c r="F22" i="7"/>
  <c r="F21" i="7"/>
  <c r="G21" i="7" s="1"/>
  <c r="F20" i="7"/>
  <c r="G20" i="7" s="1"/>
  <c r="G18" i="7"/>
  <c r="F18" i="7"/>
  <c r="F17" i="7"/>
  <c r="G17" i="7" s="1"/>
  <c r="F16" i="7"/>
  <c r="G16" i="7" s="1"/>
  <c r="G15" i="7"/>
  <c r="F15" i="7"/>
  <c r="F14" i="7"/>
  <c r="G14" i="7" s="1"/>
  <c r="F13" i="7"/>
  <c r="G13" i="7" s="1"/>
  <c r="G12" i="7"/>
  <c r="F12" i="7"/>
  <c r="F11" i="7"/>
  <c r="G11" i="7" s="1"/>
  <c r="F10" i="7"/>
  <c r="G10" i="7" s="1"/>
  <c r="G9" i="7"/>
  <c r="F9" i="7"/>
  <c r="F7" i="7"/>
  <c r="G7" i="7" s="1"/>
  <c r="F6" i="7"/>
  <c r="G6" i="7" s="1"/>
  <c r="G5" i="7"/>
  <c r="F5" i="7"/>
  <c r="F44" i="7" s="1"/>
  <c r="E44" i="6"/>
  <c r="D44" i="6"/>
  <c r="F43" i="6"/>
  <c r="G43" i="6" s="1"/>
  <c r="G42" i="6"/>
  <c r="F42" i="6"/>
  <c r="G41" i="6"/>
  <c r="F41" i="6"/>
  <c r="F39" i="6"/>
  <c r="G39" i="6" s="1"/>
  <c r="G38" i="6"/>
  <c r="F38" i="6"/>
  <c r="G37" i="6"/>
  <c r="F37" i="6"/>
  <c r="F36" i="6"/>
  <c r="G36" i="6" s="1"/>
  <c r="G35" i="6"/>
  <c r="F35" i="6"/>
  <c r="G34" i="6"/>
  <c r="F34" i="6"/>
  <c r="F33" i="6"/>
  <c r="G33" i="6" s="1"/>
  <c r="G31" i="6"/>
  <c r="F31" i="6"/>
  <c r="G30" i="6"/>
  <c r="F30" i="6"/>
  <c r="F29" i="6"/>
  <c r="G29" i="6" s="1"/>
  <c r="G28" i="6"/>
  <c r="F28" i="6"/>
  <c r="G27" i="6"/>
  <c r="F27" i="6"/>
  <c r="F26" i="6"/>
  <c r="G26" i="6" s="1"/>
  <c r="G25" i="6"/>
  <c r="F25" i="6"/>
  <c r="G24" i="6"/>
  <c r="F24" i="6"/>
  <c r="F23" i="6"/>
  <c r="G23" i="6" s="1"/>
  <c r="G22" i="6"/>
  <c r="F22" i="6"/>
  <c r="G21" i="6"/>
  <c r="F21" i="6"/>
  <c r="F20" i="6"/>
  <c r="G20" i="6" s="1"/>
  <c r="G18" i="6"/>
  <c r="F18" i="6"/>
  <c r="G17" i="6"/>
  <c r="F17" i="6"/>
  <c r="F16" i="6"/>
  <c r="G16" i="6" s="1"/>
  <c r="G15" i="6"/>
  <c r="F15" i="6"/>
  <c r="G14" i="6"/>
  <c r="F14" i="6"/>
  <c r="F13" i="6"/>
  <c r="G13" i="6" s="1"/>
  <c r="G12" i="6"/>
  <c r="F12" i="6"/>
  <c r="G11" i="6"/>
  <c r="F11" i="6"/>
  <c r="F10" i="6"/>
  <c r="G10" i="6" s="1"/>
  <c r="G9" i="6"/>
  <c r="F9" i="6"/>
  <c r="G7" i="6"/>
  <c r="F7" i="6"/>
  <c r="F6" i="6"/>
  <c r="G6" i="6" s="1"/>
  <c r="G5" i="6"/>
  <c r="F5" i="6"/>
  <c r="F44" i="6" s="1"/>
  <c r="E44" i="5"/>
  <c r="D44" i="5"/>
  <c r="G43" i="5"/>
  <c r="F43" i="5"/>
  <c r="F42" i="5"/>
  <c r="G42" i="5" s="1"/>
  <c r="G41" i="5"/>
  <c r="F41" i="5"/>
  <c r="G39" i="5"/>
  <c r="F39" i="5"/>
  <c r="F38" i="5"/>
  <c r="G38" i="5" s="1"/>
  <c r="G37" i="5"/>
  <c r="F37" i="5"/>
  <c r="G36" i="5"/>
  <c r="F36" i="5"/>
  <c r="F35" i="5"/>
  <c r="G35" i="5" s="1"/>
  <c r="G34" i="5"/>
  <c r="F34" i="5"/>
  <c r="G33" i="5"/>
  <c r="F33" i="5"/>
  <c r="F31" i="5"/>
  <c r="G31" i="5" s="1"/>
  <c r="G30" i="5"/>
  <c r="F30" i="5"/>
  <c r="G29" i="5"/>
  <c r="F29" i="5"/>
  <c r="F28" i="5"/>
  <c r="G28" i="5" s="1"/>
  <c r="G27" i="5"/>
  <c r="F27" i="5"/>
  <c r="G26" i="5"/>
  <c r="F26" i="5"/>
  <c r="F25" i="5"/>
  <c r="G25" i="5" s="1"/>
  <c r="G24" i="5"/>
  <c r="F24" i="5"/>
  <c r="G23" i="5"/>
  <c r="F23" i="5"/>
  <c r="F22" i="5"/>
  <c r="G22" i="5" s="1"/>
  <c r="G21" i="5"/>
  <c r="F21" i="5"/>
  <c r="G20" i="5"/>
  <c r="F20" i="5"/>
  <c r="F18" i="5"/>
  <c r="G18" i="5" s="1"/>
  <c r="G17" i="5"/>
  <c r="F17" i="5"/>
  <c r="G16" i="5"/>
  <c r="F16" i="5"/>
  <c r="F15" i="5"/>
  <c r="G15" i="5" s="1"/>
  <c r="G14" i="5"/>
  <c r="F14" i="5"/>
  <c r="G13" i="5"/>
  <c r="F13" i="5"/>
  <c r="F12" i="5"/>
  <c r="G12" i="5" s="1"/>
  <c r="G11" i="5"/>
  <c r="F11" i="5"/>
  <c r="G10" i="5"/>
  <c r="F10" i="5"/>
  <c r="F9" i="5"/>
  <c r="G9" i="5" s="1"/>
  <c r="G7" i="5"/>
  <c r="F7" i="5"/>
  <c r="G6" i="5"/>
  <c r="F6" i="5"/>
  <c r="F5" i="5"/>
  <c r="G5" i="5" s="1"/>
  <c r="E44" i="4"/>
  <c r="D44" i="4"/>
  <c r="G43" i="4"/>
  <c r="F43" i="4"/>
  <c r="F42" i="4"/>
  <c r="G42" i="4" s="1"/>
  <c r="F41" i="4"/>
  <c r="G41" i="4" s="1"/>
  <c r="G39" i="4"/>
  <c r="F39" i="4"/>
  <c r="F38" i="4"/>
  <c r="G38" i="4" s="1"/>
  <c r="F37" i="4"/>
  <c r="G37" i="4" s="1"/>
  <c r="G36" i="4"/>
  <c r="F36" i="4"/>
  <c r="F35" i="4"/>
  <c r="G35" i="4" s="1"/>
  <c r="F34" i="4"/>
  <c r="G34" i="4" s="1"/>
  <c r="G33" i="4"/>
  <c r="F33" i="4"/>
  <c r="F31" i="4"/>
  <c r="G31" i="4" s="1"/>
  <c r="F30" i="4"/>
  <c r="G30" i="4" s="1"/>
  <c r="G29" i="4"/>
  <c r="F29" i="4"/>
  <c r="F28" i="4"/>
  <c r="G28" i="4" s="1"/>
  <c r="F27" i="4"/>
  <c r="G27" i="4" s="1"/>
  <c r="G26" i="4"/>
  <c r="F26" i="4"/>
  <c r="F25" i="4"/>
  <c r="G25" i="4" s="1"/>
  <c r="F24" i="4"/>
  <c r="G24" i="4" s="1"/>
  <c r="G23" i="4"/>
  <c r="F23" i="4"/>
  <c r="F22" i="4"/>
  <c r="G22" i="4" s="1"/>
  <c r="F21" i="4"/>
  <c r="G21" i="4" s="1"/>
  <c r="G20" i="4"/>
  <c r="F20" i="4"/>
  <c r="F18" i="4"/>
  <c r="G18" i="4" s="1"/>
  <c r="F17" i="4"/>
  <c r="G17" i="4" s="1"/>
  <c r="G16" i="4"/>
  <c r="F16" i="4"/>
  <c r="F15" i="4"/>
  <c r="G15" i="4" s="1"/>
  <c r="F14" i="4"/>
  <c r="G14" i="4" s="1"/>
  <c r="G13" i="4"/>
  <c r="F13" i="4"/>
  <c r="F12" i="4"/>
  <c r="G12" i="4" s="1"/>
  <c r="F11" i="4"/>
  <c r="G11" i="4" s="1"/>
  <c r="G10" i="4"/>
  <c r="F10" i="4"/>
  <c r="F9" i="4"/>
  <c r="G9" i="4" s="1"/>
  <c r="F7" i="4"/>
  <c r="G7" i="4" s="1"/>
  <c r="G6" i="4"/>
  <c r="F6" i="4"/>
  <c r="F5" i="4"/>
  <c r="G5" i="4" s="1"/>
  <c r="E44" i="3"/>
  <c r="D44" i="3"/>
  <c r="F43" i="3"/>
  <c r="G43" i="3" s="1"/>
  <c r="G42" i="3"/>
  <c r="F42" i="3"/>
  <c r="G41" i="3"/>
  <c r="F41" i="3"/>
  <c r="F39" i="3"/>
  <c r="G39" i="3" s="1"/>
  <c r="G38" i="3"/>
  <c r="F38" i="3"/>
  <c r="G37" i="3"/>
  <c r="F37" i="3"/>
  <c r="F36" i="3"/>
  <c r="G36" i="3" s="1"/>
  <c r="G35" i="3"/>
  <c r="F35" i="3"/>
  <c r="G34" i="3"/>
  <c r="F34" i="3"/>
  <c r="F33" i="3"/>
  <c r="G33" i="3" s="1"/>
  <c r="G31" i="3"/>
  <c r="F31" i="3"/>
  <c r="G30" i="3"/>
  <c r="F30" i="3"/>
  <c r="F29" i="3"/>
  <c r="G29" i="3" s="1"/>
  <c r="G28" i="3"/>
  <c r="F28" i="3"/>
  <c r="G27" i="3"/>
  <c r="F27" i="3"/>
  <c r="F26" i="3"/>
  <c r="G26" i="3" s="1"/>
  <c r="G25" i="3"/>
  <c r="F25" i="3"/>
  <c r="G24" i="3"/>
  <c r="F24" i="3"/>
  <c r="F23" i="3"/>
  <c r="G23" i="3" s="1"/>
  <c r="G22" i="3"/>
  <c r="F22" i="3"/>
  <c r="G21" i="3"/>
  <c r="F21" i="3"/>
  <c r="F20" i="3"/>
  <c r="G20" i="3" s="1"/>
  <c r="G18" i="3"/>
  <c r="F18" i="3"/>
  <c r="G17" i="3"/>
  <c r="F17" i="3"/>
  <c r="F16" i="3"/>
  <c r="G16" i="3" s="1"/>
  <c r="G15" i="3"/>
  <c r="F15" i="3"/>
  <c r="G14" i="3"/>
  <c r="F14" i="3"/>
  <c r="F13" i="3"/>
  <c r="G13" i="3" s="1"/>
  <c r="G12" i="3"/>
  <c r="F12" i="3"/>
  <c r="G11" i="3"/>
  <c r="F11" i="3"/>
  <c r="F10" i="3"/>
  <c r="G10" i="3" s="1"/>
  <c r="G9" i="3"/>
  <c r="F9" i="3"/>
  <c r="G7" i="3"/>
  <c r="F7" i="3"/>
  <c r="F6" i="3"/>
  <c r="G6" i="3" s="1"/>
  <c r="G5" i="3"/>
  <c r="F5" i="3"/>
  <c r="F44" i="3" s="1"/>
  <c r="E44" i="2"/>
  <c r="D44" i="2"/>
  <c r="F43" i="2"/>
  <c r="G43" i="2" s="1"/>
  <c r="F42" i="2"/>
  <c r="G42" i="2" s="1"/>
  <c r="F41" i="2"/>
  <c r="G41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7" i="2"/>
  <c r="G7" i="2" s="1"/>
  <c r="F6" i="2"/>
  <c r="G6" i="2" s="1"/>
  <c r="F5" i="2"/>
  <c r="G5" i="2" s="1"/>
  <c r="I44" i="1"/>
  <c r="H44" i="1"/>
  <c r="G44" i="1"/>
  <c r="D44" i="1"/>
  <c r="F43" i="1"/>
  <c r="E43" i="1"/>
  <c r="E42" i="1"/>
  <c r="F42" i="1" s="1"/>
  <c r="E41" i="1"/>
  <c r="F41" i="1" s="1"/>
  <c r="F39" i="1"/>
  <c r="E39" i="1"/>
  <c r="E38" i="1"/>
  <c r="F38" i="1" s="1"/>
  <c r="F37" i="1"/>
  <c r="E37" i="1"/>
  <c r="F36" i="1"/>
  <c r="E36" i="1"/>
  <c r="E35" i="1"/>
  <c r="F35" i="1" s="1"/>
  <c r="F34" i="1"/>
  <c r="E34" i="1"/>
  <c r="F33" i="1"/>
  <c r="E33" i="1"/>
  <c r="E31" i="1"/>
  <c r="F31" i="1" s="1"/>
  <c r="F30" i="1"/>
  <c r="E30" i="1"/>
  <c r="F29" i="1"/>
  <c r="E29" i="1"/>
  <c r="E28" i="1"/>
  <c r="F28" i="1" s="1"/>
  <c r="F27" i="1"/>
  <c r="E27" i="1"/>
  <c r="F26" i="1"/>
  <c r="E26" i="1"/>
  <c r="E25" i="1"/>
  <c r="F25" i="1" s="1"/>
  <c r="F24" i="1"/>
  <c r="E24" i="1"/>
  <c r="F23" i="1"/>
  <c r="E23" i="1"/>
  <c r="E22" i="1"/>
  <c r="F22" i="1" s="1"/>
  <c r="F21" i="1"/>
  <c r="E21" i="1"/>
  <c r="F20" i="1"/>
  <c r="E20" i="1"/>
  <c r="E18" i="1"/>
  <c r="F18" i="1" s="1"/>
  <c r="F17" i="1"/>
  <c r="E17" i="1"/>
  <c r="F16" i="1"/>
  <c r="E16" i="1"/>
  <c r="E15" i="1"/>
  <c r="F15" i="1" s="1"/>
  <c r="F14" i="1"/>
  <c r="E14" i="1"/>
  <c r="F13" i="1"/>
  <c r="E13" i="1"/>
  <c r="E12" i="1"/>
  <c r="F12" i="1" s="1"/>
  <c r="F11" i="1"/>
  <c r="E11" i="1"/>
  <c r="F10" i="1"/>
  <c r="E10" i="1"/>
  <c r="E9" i="1"/>
  <c r="F9" i="1" s="1"/>
  <c r="F7" i="1"/>
  <c r="E7" i="1"/>
  <c r="F6" i="1"/>
  <c r="E6" i="1"/>
  <c r="E5" i="1"/>
  <c r="F5" i="1" s="1"/>
  <c r="E44" i="1" l="1"/>
  <c r="F44" i="4"/>
  <c r="G5" i="9"/>
  <c r="F44" i="5"/>
  <c r="F44" i="2"/>
  <c r="F44" i="8"/>
</calcChain>
</file>

<file path=xl/sharedStrings.xml><?xml version="1.0" encoding="utf-8"?>
<sst xmlns="http://schemas.openxmlformats.org/spreadsheetml/2006/main" count="833" uniqueCount="95">
  <si>
    <t>MASTER INVENTORY</t>
  </si>
  <si>
    <t>#</t>
  </si>
  <si>
    <t>Category</t>
  </si>
  <si>
    <t>Item Name</t>
  </si>
  <si>
    <t>Full Stock
(All Projects)</t>
  </si>
  <si>
    <t>Available
Balance</t>
  </si>
  <si>
    <t>Item
Status</t>
  </si>
  <si>
    <t>At North
Deployed</t>
  </si>
  <si>
    <t>GVX 03
Deployed</t>
  </si>
  <si>
    <t>Conapto S4
Deployed</t>
  </si>
  <si>
    <t xml:space="preserve">  Termination Tools</t>
  </si>
  <si>
    <t>Termination Tools</t>
  </si>
  <si>
    <t>Cable Tester</t>
  </si>
  <si>
    <t>Cable Cutter</t>
  </si>
  <si>
    <t>Crimping Tool</t>
  </si>
  <si>
    <t xml:space="preserve">  Safety Items</t>
  </si>
  <si>
    <t>Safety Items</t>
  </si>
  <si>
    <t>Body Harness</t>
  </si>
  <si>
    <t>Lanyards</t>
  </si>
  <si>
    <t>Mobile Scaffolding</t>
  </si>
  <si>
    <t>Barricades</t>
  </si>
  <si>
    <t>Safety Poles</t>
  </si>
  <si>
    <t>Ear Muffs (Attachable)</t>
  </si>
  <si>
    <t>Ear Muffs</t>
  </si>
  <si>
    <t>First Aid</t>
  </si>
  <si>
    <t>Scaffolding Bumpers</t>
  </si>
  <si>
    <t>ESD Wrist Band</t>
  </si>
  <si>
    <t xml:space="preserve">  Site Tools</t>
  </si>
  <si>
    <t>Site Tools</t>
  </si>
  <si>
    <t>Screw Driver</t>
  </si>
  <si>
    <t>Electric Screwdriver (Hand Tool)</t>
  </si>
  <si>
    <t>Cable Tray Cutter</t>
  </si>
  <si>
    <t>Cable Comb</t>
  </si>
  <si>
    <t>Hand Tool Batteries</t>
  </si>
  <si>
    <t>Hand Tool Batteries Chargers</t>
  </si>
  <si>
    <t>Tool Box Bag</t>
  </si>
  <si>
    <t>Tool Box</t>
  </si>
  <si>
    <t>Scissors</t>
  </si>
  <si>
    <t>Power Cord</t>
  </si>
  <si>
    <t>Measuring Tape</t>
  </si>
  <si>
    <t>Laser Level Machine</t>
  </si>
  <si>
    <t xml:space="preserve">  Office Items</t>
  </si>
  <si>
    <t>Office Items</t>
  </si>
  <si>
    <t>Printers</t>
  </si>
  <si>
    <t>Label Printers</t>
  </si>
  <si>
    <t>White Board</t>
  </si>
  <si>
    <t>Stapler</t>
  </si>
  <si>
    <t>Bench</t>
  </si>
  <si>
    <t>Table</t>
  </si>
  <si>
    <t>Box File</t>
  </si>
  <si>
    <t xml:space="preserve">  Welfare</t>
  </si>
  <si>
    <t>Welfare</t>
  </si>
  <si>
    <t>Rice Cooker</t>
  </si>
  <si>
    <t>Heaters</t>
  </si>
  <si>
    <t>Coffee Machine</t>
  </si>
  <si>
    <t>TOTAL</t>
  </si>
  <si>
    <t>Project Inventory  –  At North Copenhagen</t>
  </si>
  <si>
    <t>Full Stock
(Main)</t>
  </si>
  <si>
    <t>Deployed
Qty</t>
  </si>
  <si>
    <t>Serial Number/s</t>
  </si>
  <si>
    <t>Remarks</t>
  </si>
  <si>
    <t>Last Updated</t>
  </si>
  <si>
    <t>Project Inventory  –  GVX 03 - Gavle</t>
  </si>
  <si>
    <t>Project Inventory  –  Conapto S4</t>
  </si>
  <si>
    <t>New Project 1 – Inventory</t>
  </si>
  <si>
    <t>Project Name:</t>
  </si>
  <si>
    <t>Location:</t>
  </si>
  <si>
    <t>Updated By:</t>
  </si>
  <si>
    <t>Date:</t>
  </si>
  <si>
    <t>New Project 2 – Inventory</t>
  </si>
  <si>
    <t>New Project 3 – Inventory</t>
  </si>
  <si>
    <t>New Project 4 – Inventory</t>
  </si>
  <si>
    <t>New Project 5 – Inventory</t>
  </si>
  <si>
    <t>ITEM MOVEMENT LOG  –  Track where items went</t>
  </si>
  <si>
    <t>Log every item transfer, retirement, or removal here. Colour: Green = transferred  |  Red = retired/lost/damaged</t>
  </si>
  <si>
    <t>Log #</t>
  </si>
  <si>
    <t>Date</t>
  </si>
  <si>
    <t>Qty Moved</t>
  </si>
  <si>
    <t>From Project</t>
  </si>
  <si>
    <t>To Project / Status</t>
  </si>
  <si>
    <t>Reason / Notes</t>
  </si>
  <si>
    <t>Logged By</t>
  </si>
  <si>
    <t>Confirmed</t>
  </si>
  <si>
    <t>26/05/2026</t>
  </si>
  <si>
    <t>Conapto S4</t>
  </si>
  <si>
    <t>GVX 03 - Gavle</t>
  </si>
  <si>
    <t>Project transfer</t>
  </si>
  <si>
    <t>DN 273, DN 282</t>
  </si>
  <si>
    <t>Shehan K.</t>
  </si>
  <si>
    <t>Yes</t>
  </si>
  <si>
    <t>At North Copenhagen</t>
  </si>
  <si>
    <t>Retired / Damaged</t>
  </si>
  <si>
    <t>Damaged buckle</t>
  </si>
  <si>
    <t>LY 361</t>
  </si>
  <si>
    <t>Pasindu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</si>
</sst>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sz val="9"/>
      <name val="Arial"/>
      <family val="2"/>
    </font>
    <font>
      <i/>
      <sz val="9"/>
      <color rgb="FF0070C0"/>
      <name val="Arial"/>
      <family val="2"/>
    </font>
    <font>
      <i/>
      <sz val="9"/>
      <color rgb="FF1F3864"/>
      <name val="Arial"/>
      <family val="2"/>
    </font>
    <font>
      <i/>
      <sz val="9"/>
      <color rgb="FF595959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5FA3"/>
        <bgColor rgb="FF2E75B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DEEAF1"/>
      </patternFill>
    </fill>
    <fill>
      <patternFill patternType="solid">
        <fgColor rgb="FF2E75B6"/>
        <bgColor rgb="FF2E5FA3"/>
      </patternFill>
    </fill>
    <fill>
      <patternFill patternType="solid">
        <fgColor rgb="FFDEEAF1"/>
        <bgColor rgb="FFD6E4F7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993366"/>
      </patternFill>
    </fill>
    <fill>
      <patternFill patternType="solid">
        <fgColor rgb="FFEAD1F5"/>
        <bgColor rgb="FFD6E4F7"/>
      </patternFill>
    </fill>
    <fill>
      <patternFill patternType="solid">
        <fgColor rgb="FF595959"/>
        <bgColor rgb="FF375623"/>
      </patternFill>
    </fill>
    <fill>
      <patternFill patternType="solid">
        <fgColor rgb="FFF0F0F0"/>
        <bgColor rgb="FFF2F2F2"/>
      </patternFill>
    </fill>
    <fill>
      <patternFill patternType="solid">
        <fgColor rgb="FF833C00"/>
        <bgColor rgb="FF7F6000"/>
      </patternFill>
    </fill>
    <fill>
      <patternFill patternType="solid">
        <fgColor rgb="FFFFF2CC"/>
        <b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7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3" fillId="12" borderId="2" xfId="0" applyFont="1" applyFill="1" applyBorder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3" fillId="10" borderId="2" xfId="0" applyFont="1" applyFill="1" applyBorder="1" applyAlignment="1">
      <alignment horizontal="left" vertical="center"/>
    </xf>
    <xf numFmtId="0" fontId="8" fillId="9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2" fillId="7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2" fillId="9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2" fillId="11" borderId="0" xfId="0" applyFont="1" applyFill="1" applyAlignment="1">
      <alignment horizontal="left" vertical="center" indent="1"/>
    </xf>
    <xf numFmtId="0" fontId="2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3" fillId="14" borderId="1" xfId="0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2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2" fillId="1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left" vertical="center" indent="1"/>
    </xf>
  </cellXfs>
  <cellStyles count="1">
    <cellStyle name="Normal" xfId="0" builtinId="0"/>
  </cellStyles>
  <dxfs count="21">
    <dxf>
      <font>
        <sz val="9"/>
        <color rgb="FF375623"/>
        <name val="Arial"/>
        <charset val="1"/>
      </font>
      <fill>
        <patternFill>
          <bgColor rgb="FFE2EFDA"/>
        </patternFill>
      </fill>
    </dxf>
    <dxf>
      <font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C0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F0F0F0"/>
      <rgbColor rgb="FF808080"/>
      <rgbColor rgb="FF9999FF"/>
      <rgbColor rgb="FF7030A0"/>
      <rgbColor rgb="FFFFF2CC"/>
      <rgbColor rgb="FFDEEAF1"/>
      <rgbColor rgb="FF660066"/>
      <rgbColor rgb="FFFF8080"/>
      <rgbColor rgb="FF0070C0"/>
      <rgbColor rgb="FFEAD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2E5FA3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zoomScaleNormal="100" workbookViewId="0">
      <pane ySplit="3" topLeftCell="A20" activePane="bottomLeft" state="frozen"/>
      <selection pane="bottomLeft" activeCell="O38" sqref="O38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3" customWidth="1"/>
    <col min="6" max="6" width="14" customWidth="1"/>
    <col min="7" max="9" width="12" customWidth="1"/>
  </cols>
  <sheetData>
    <row r="1" spans="1:9" ht="36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9.5" customHeight="1" x14ac:dyDescent="0.2">
      <c r="A2" s="15"/>
      <c r="B2" s="16"/>
      <c r="C2" s="16"/>
      <c r="D2" s="15"/>
      <c r="E2" s="16"/>
      <c r="F2" s="15"/>
      <c r="G2" s="16"/>
      <c r="H2" s="15"/>
      <c r="I2" s="16"/>
    </row>
    <row r="3" spans="1:9" ht="36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7" t="s">
        <v>8</v>
      </c>
      <c r="I3" s="17" t="s">
        <v>9</v>
      </c>
    </row>
    <row r="4" spans="1:9" ht="18" customHeight="1" x14ac:dyDescent="0.2">
      <c r="A4" s="13" t="s">
        <v>10</v>
      </c>
      <c r="B4" s="13"/>
      <c r="C4" s="13"/>
      <c r="D4" s="13"/>
      <c r="E4" s="13"/>
      <c r="F4" s="13"/>
      <c r="G4" s="13"/>
      <c r="H4" s="13"/>
      <c r="I4" s="13"/>
    </row>
    <row r="5" spans="1:9" ht="18" customHeight="1" x14ac:dyDescent="0.2">
      <c r="A5" s="18">
        <v>1</v>
      </c>
      <c r="B5" s="19" t="s">
        <v>11</v>
      </c>
      <c r="C5" s="20" t="s">
        <v>12</v>
      </c>
      <c r="D5" s="21">
        <v>1</v>
      </c>
      <c r="E5" s="22">
        <f>D5-G5-H5-I5</f>
        <v>0</v>
      </c>
      <c r="F5" s="23" t="str">
        <f>IF(E5&gt;0,"Available","Not Available")</f>
        <v>Not Available</v>
      </c>
      <c r="G5" s="18">
        <v>0</v>
      </c>
      <c r="H5" s="18">
        <v>0</v>
      </c>
      <c r="I5" s="18">
        <v>1</v>
      </c>
    </row>
    <row r="6" spans="1:9" ht="18" customHeight="1" x14ac:dyDescent="0.2">
      <c r="A6" s="24">
        <v>2</v>
      </c>
      <c r="B6" s="25" t="s">
        <v>11</v>
      </c>
      <c r="C6" s="26" t="s">
        <v>13</v>
      </c>
      <c r="D6" s="27">
        <v>1</v>
      </c>
      <c r="E6" s="28">
        <f>D6-G6-H6-I6</f>
        <v>0</v>
      </c>
      <c r="F6" s="29" t="str">
        <f>IF(E6&gt;0,"Available","Not Available")</f>
        <v>Not Available</v>
      </c>
      <c r="G6" s="24">
        <v>0</v>
      </c>
      <c r="H6" s="24">
        <v>0</v>
      </c>
      <c r="I6" s="24">
        <v>1</v>
      </c>
    </row>
    <row r="7" spans="1:9" ht="18" customHeight="1" x14ac:dyDescent="0.2">
      <c r="A7" s="18">
        <v>3</v>
      </c>
      <c r="B7" s="19" t="s">
        <v>11</v>
      </c>
      <c r="C7" s="20" t="s">
        <v>14</v>
      </c>
      <c r="D7" s="21">
        <v>0</v>
      </c>
      <c r="E7" s="22">
        <f>D7-G7-H7-I7</f>
        <v>0</v>
      </c>
      <c r="F7" s="23" t="str">
        <f>IF(E7&gt;0,"Available","Not Available")</f>
        <v>Not Available</v>
      </c>
      <c r="G7" s="18">
        <v>0</v>
      </c>
      <c r="H7" s="18">
        <v>0</v>
      </c>
      <c r="I7" s="18">
        <v>0</v>
      </c>
    </row>
    <row r="8" spans="1:9" ht="18" customHeight="1" x14ac:dyDescent="0.2">
      <c r="A8" s="13" t="s">
        <v>15</v>
      </c>
      <c r="B8" s="13"/>
      <c r="C8" s="13"/>
      <c r="D8" s="13"/>
      <c r="E8" s="13"/>
      <c r="F8" s="13"/>
      <c r="G8" s="13"/>
      <c r="H8" s="13"/>
      <c r="I8" s="13"/>
    </row>
    <row r="9" spans="1:9" ht="18" customHeight="1" x14ac:dyDescent="0.2">
      <c r="A9" s="18">
        <v>4</v>
      </c>
      <c r="B9" s="19" t="s">
        <v>16</v>
      </c>
      <c r="C9" s="20" t="s">
        <v>17</v>
      </c>
      <c r="D9" s="21">
        <v>20</v>
      </c>
      <c r="E9" s="22">
        <f t="shared" ref="E9:E18" si="0">D9-G9-H9-I9</f>
        <v>0</v>
      </c>
      <c r="F9" s="23" t="str">
        <f t="shared" ref="F9:F18" si="1">IF(E9&gt;0,"Available","Not Available")</f>
        <v>Not Available</v>
      </c>
      <c r="G9" s="18">
        <v>5</v>
      </c>
      <c r="H9" s="18">
        <v>11</v>
      </c>
      <c r="I9" s="18">
        <v>4</v>
      </c>
    </row>
    <row r="10" spans="1:9" ht="18" customHeight="1" x14ac:dyDescent="0.2">
      <c r="A10" s="24">
        <v>5</v>
      </c>
      <c r="B10" s="25" t="s">
        <v>16</v>
      </c>
      <c r="C10" s="26" t="s">
        <v>18</v>
      </c>
      <c r="D10" s="27">
        <v>23</v>
      </c>
      <c r="E10" s="28">
        <f t="shared" si="0"/>
        <v>0</v>
      </c>
      <c r="F10" s="29" t="str">
        <f t="shared" si="1"/>
        <v>Not Available</v>
      </c>
      <c r="G10" s="24">
        <v>6</v>
      </c>
      <c r="H10" s="24">
        <v>11</v>
      </c>
      <c r="I10" s="24">
        <v>6</v>
      </c>
    </row>
    <row r="11" spans="1:9" ht="18" customHeight="1" x14ac:dyDescent="0.2">
      <c r="A11" s="18">
        <v>6</v>
      </c>
      <c r="B11" s="19" t="s">
        <v>16</v>
      </c>
      <c r="C11" s="20" t="s">
        <v>19</v>
      </c>
      <c r="D11" s="21">
        <v>1</v>
      </c>
      <c r="E11" s="22">
        <f t="shared" si="0"/>
        <v>0</v>
      </c>
      <c r="F11" s="23" t="str">
        <f t="shared" si="1"/>
        <v>Not Available</v>
      </c>
      <c r="G11" s="18">
        <v>0</v>
      </c>
      <c r="H11" s="18">
        <v>0</v>
      </c>
      <c r="I11" s="18">
        <v>1</v>
      </c>
    </row>
    <row r="12" spans="1:9" ht="18" customHeight="1" x14ac:dyDescent="0.2">
      <c r="A12" s="24">
        <v>7</v>
      </c>
      <c r="B12" s="25" t="s">
        <v>16</v>
      </c>
      <c r="C12" s="26" t="s">
        <v>20</v>
      </c>
      <c r="D12" s="27">
        <v>2</v>
      </c>
      <c r="E12" s="28">
        <f t="shared" si="0"/>
        <v>0</v>
      </c>
      <c r="F12" s="29" t="str">
        <f t="shared" si="1"/>
        <v>Not Available</v>
      </c>
      <c r="G12" s="24">
        <v>0</v>
      </c>
      <c r="H12" s="24">
        <v>0</v>
      </c>
      <c r="I12" s="24">
        <v>2</v>
      </c>
    </row>
    <row r="13" spans="1:9" ht="18" customHeight="1" x14ac:dyDescent="0.2">
      <c r="A13" s="18">
        <v>8</v>
      </c>
      <c r="B13" s="19" t="s">
        <v>16</v>
      </c>
      <c r="C13" s="20" t="s">
        <v>21</v>
      </c>
      <c r="D13" s="21">
        <v>4</v>
      </c>
      <c r="E13" s="22">
        <f t="shared" si="0"/>
        <v>0</v>
      </c>
      <c r="F13" s="23" t="str">
        <f t="shared" si="1"/>
        <v>Not Available</v>
      </c>
      <c r="G13" s="18">
        <v>0</v>
      </c>
      <c r="H13" s="18">
        <v>0</v>
      </c>
      <c r="I13" s="18">
        <v>4</v>
      </c>
    </row>
    <row r="14" spans="1:9" ht="18" customHeight="1" x14ac:dyDescent="0.2">
      <c r="A14" s="24">
        <v>9</v>
      </c>
      <c r="B14" s="25" t="s">
        <v>16</v>
      </c>
      <c r="C14" s="26" t="s">
        <v>22</v>
      </c>
      <c r="D14" s="27">
        <v>8</v>
      </c>
      <c r="E14" s="28">
        <f t="shared" si="0"/>
        <v>0</v>
      </c>
      <c r="F14" s="29" t="str">
        <f t="shared" si="1"/>
        <v>Not Available</v>
      </c>
      <c r="G14" s="24">
        <v>7</v>
      </c>
      <c r="H14" s="24">
        <v>0</v>
      </c>
      <c r="I14" s="24">
        <v>1</v>
      </c>
    </row>
    <row r="15" spans="1:9" ht="18" customHeight="1" x14ac:dyDescent="0.2">
      <c r="A15" s="18">
        <v>10</v>
      </c>
      <c r="B15" s="19" t="s">
        <v>16</v>
      </c>
      <c r="C15" s="20" t="s">
        <v>23</v>
      </c>
      <c r="D15" s="21">
        <v>9</v>
      </c>
      <c r="E15" s="22">
        <f t="shared" si="0"/>
        <v>0</v>
      </c>
      <c r="F15" s="23" t="str">
        <f t="shared" si="1"/>
        <v>Not Available</v>
      </c>
      <c r="G15" s="18">
        <v>0</v>
      </c>
      <c r="H15" s="18">
        <v>1</v>
      </c>
      <c r="I15" s="18">
        <v>8</v>
      </c>
    </row>
    <row r="16" spans="1:9" ht="18" customHeight="1" x14ac:dyDescent="0.2">
      <c r="A16" s="24">
        <v>11</v>
      </c>
      <c r="B16" s="25" t="s">
        <v>16</v>
      </c>
      <c r="C16" s="26" t="s">
        <v>24</v>
      </c>
      <c r="D16" s="27">
        <v>3</v>
      </c>
      <c r="E16" s="28">
        <f t="shared" si="0"/>
        <v>0</v>
      </c>
      <c r="F16" s="29" t="str">
        <f t="shared" si="1"/>
        <v>Not Available</v>
      </c>
      <c r="G16" s="24">
        <v>0</v>
      </c>
      <c r="H16" s="24">
        <v>2</v>
      </c>
      <c r="I16" s="24">
        <v>1</v>
      </c>
    </row>
    <row r="17" spans="1:9" ht="18" customHeight="1" x14ac:dyDescent="0.2">
      <c r="A17" s="18">
        <v>12</v>
      </c>
      <c r="B17" s="19" t="s">
        <v>16</v>
      </c>
      <c r="C17" s="20" t="s">
        <v>25</v>
      </c>
      <c r="D17" s="21">
        <v>8</v>
      </c>
      <c r="E17" s="22">
        <f t="shared" si="0"/>
        <v>0</v>
      </c>
      <c r="F17" s="23" t="str">
        <f t="shared" si="1"/>
        <v>Not Available</v>
      </c>
      <c r="G17" s="18">
        <v>0</v>
      </c>
      <c r="H17" s="18">
        <v>0</v>
      </c>
      <c r="I17" s="18">
        <v>8</v>
      </c>
    </row>
    <row r="18" spans="1:9" ht="18" customHeight="1" x14ac:dyDescent="0.2">
      <c r="A18" s="24">
        <v>13</v>
      </c>
      <c r="B18" s="25" t="s">
        <v>16</v>
      </c>
      <c r="C18" s="26" t="s">
        <v>26</v>
      </c>
      <c r="D18" s="27">
        <v>6</v>
      </c>
      <c r="E18" s="28">
        <f t="shared" si="0"/>
        <v>0</v>
      </c>
      <c r="F18" s="29" t="str">
        <f t="shared" si="1"/>
        <v>Not Available</v>
      </c>
      <c r="G18" s="24">
        <v>3</v>
      </c>
      <c r="H18" s="24">
        <v>0</v>
      </c>
      <c r="I18" s="24">
        <v>3</v>
      </c>
    </row>
    <row r="19" spans="1:9" ht="18" customHeight="1" x14ac:dyDescent="0.2">
      <c r="A19" s="13" t="s">
        <v>27</v>
      </c>
      <c r="B19" s="13"/>
      <c r="C19" s="13"/>
      <c r="D19" s="13"/>
      <c r="E19" s="13"/>
      <c r="F19" s="13"/>
      <c r="G19" s="13"/>
      <c r="H19" s="13"/>
      <c r="I19" s="13"/>
    </row>
    <row r="20" spans="1:9" ht="18" customHeight="1" x14ac:dyDescent="0.2">
      <c r="A20" s="24">
        <v>14</v>
      </c>
      <c r="B20" s="25" t="s">
        <v>28</v>
      </c>
      <c r="C20" s="26" t="s">
        <v>29</v>
      </c>
      <c r="D20" s="27">
        <v>0</v>
      </c>
      <c r="E20" s="28">
        <f t="shared" ref="E20:E31" si="2">D20-G20-H20-I20</f>
        <v>0</v>
      </c>
      <c r="F20" s="29" t="str">
        <f t="shared" ref="F20:F31" si="3">IF(E20&gt;0,"Available","Not Available")</f>
        <v>Not Available</v>
      </c>
      <c r="G20" s="24">
        <v>0</v>
      </c>
      <c r="H20" s="24">
        <v>0</v>
      </c>
      <c r="I20" s="24">
        <v>0</v>
      </c>
    </row>
    <row r="21" spans="1:9" ht="18" customHeight="1" x14ac:dyDescent="0.2">
      <c r="A21" s="18">
        <v>15</v>
      </c>
      <c r="B21" s="19" t="s">
        <v>28</v>
      </c>
      <c r="C21" s="20" t="s">
        <v>30</v>
      </c>
      <c r="D21" s="21">
        <v>0</v>
      </c>
      <c r="E21" s="22">
        <f t="shared" si="2"/>
        <v>0</v>
      </c>
      <c r="F21" s="23" t="str">
        <f t="shared" si="3"/>
        <v>Not Available</v>
      </c>
      <c r="G21" s="18">
        <v>0</v>
      </c>
      <c r="H21" s="18">
        <v>0</v>
      </c>
      <c r="I21" s="18">
        <v>0</v>
      </c>
    </row>
    <row r="22" spans="1:9" ht="18" customHeight="1" x14ac:dyDescent="0.2">
      <c r="A22" s="24">
        <v>16</v>
      </c>
      <c r="B22" s="25" t="s">
        <v>28</v>
      </c>
      <c r="C22" s="26" t="s">
        <v>31</v>
      </c>
      <c r="D22" s="27">
        <v>0</v>
      </c>
      <c r="E22" s="28">
        <f t="shared" si="2"/>
        <v>0</v>
      </c>
      <c r="F22" s="29" t="str">
        <f t="shared" si="3"/>
        <v>Not Available</v>
      </c>
      <c r="G22" s="24">
        <v>0</v>
      </c>
      <c r="H22" s="24">
        <v>0</v>
      </c>
      <c r="I22" s="24">
        <v>0</v>
      </c>
    </row>
    <row r="23" spans="1:9" ht="18" customHeight="1" x14ac:dyDescent="0.2">
      <c r="A23" s="18">
        <v>17</v>
      </c>
      <c r="B23" s="19" t="s">
        <v>28</v>
      </c>
      <c r="C23" s="20" t="s">
        <v>32</v>
      </c>
      <c r="D23" s="21">
        <v>4</v>
      </c>
      <c r="E23" s="22">
        <f t="shared" si="2"/>
        <v>0</v>
      </c>
      <c r="F23" s="23" t="str">
        <f t="shared" si="3"/>
        <v>Not Available</v>
      </c>
      <c r="G23" s="18">
        <v>2</v>
      </c>
      <c r="H23" s="18">
        <v>0</v>
      </c>
      <c r="I23" s="18">
        <v>2</v>
      </c>
    </row>
    <row r="24" spans="1:9" ht="18" customHeight="1" x14ac:dyDescent="0.2">
      <c r="A24" s="24">
        <v>18</v>
      </c>
      <c r="B24" s="25" t="s">
        <v>28</v>
      </c>
      <c r="C24" s="26" t="s">
        <v>33</v>
      </c>
      <c r="D24" s="27">
        <v>0</v>
      </c>
      <c r="E24" s="28">
        <f t="shared" si="2"/>
        <v>0</v>
      </c>
      <c r="F24" s="29" t="str">
        <f t="shared" si="3"/>
        <v>Not Available</v>
      </c>
      <c r="G24" s="24">
        <v>0</v>
      </c>
      <c r="H24" s="24">
        <v>0</v>
      </c>
      <c r="I24" s="24">
        <v>0</v>
      </c>
    </row>
    <row r="25" spans="1:9" ht="18" customHeight="1" x14ac:dyDescent="0.2">
      <c r="A25" s="18">
        <v>19</v>
      </c>
      <c r="B25" s="19" t="s">
        <v>28</v>
      </c>
      <c r="C25" s="20" t="s">
        <v>34</v>
      </c>
      <c r="D25" s="21">
        <v>0</v>
      </c>
      <c r="E25" s="22">
        <f t="shared" si="2"/>
        <v>0</v>
      </c>
      <c r="F25" s="23" t="str">
        <f t="shared" si="3"/>
        <v>Not Available</v>
      </c>
      <c r="G25" s="18">
        <v>0</v>
      </c>
      <c r="H25" s="18">
        <v>0</v>
      </c>
      <c r="I25" s="18">
        <v>0</v>
      </c>
    </row>
    <row r="26" spans="1:9" ht="18" customHeight="1" x14ac:dyDescent="0.2">
      <c r="A26" s="24">
        <v>20</v>
      </c>
      <c r="B26" s="25" t="s">
        <v>28</v>
      </c>
      <c r="C26" s="26" t="s">
        <v>35</v>
      </c>
      <c r="D26" s="27">
        <v>1</v>
      </c>
      <c r="E26" s="28">
        <f t="shared" si="2"/>
        <v>0</v>
      </c>
      <c r="F26" s="29" t="str">
        <f t="shared" si="3"/>
        <v>Not Available</v>
      </c>
      <c r="G26" s="24">
        <v>0</v>
      </c>
      <c r="H26" s="24">
        <v>1</v>
      </c>
      <c r="I26" s="24">
        <v>0</v>
      </c>
    </row>
    <row r="27" spans="1:9" ht="18" customHeight="1" x14ac:dyDescent="0.2">
      <c r="A27" s="18">
        <v>21</v>
      </c>
      <c r="B27" s="19" t="s">
        <v>28</v>
      </c>
      <c r="C27" s="20" t="s">
        <v>36</v>
      </c>
      <c r="D27" s="21">
        <v>2</v>
      </c>
      <c r="E27" s="22">
        <f t="shared" si="2"/>
        <v>0</v>
      </c>
      <c r="F27" s="23" t="str">
        <f t="shared" si="3"/>
        <v>Not Available</v>
      </c>
      <c r="G27" s="18">
        <v>0</v>
      </c>
      <c r="H27" s="18">
        <v>2</v>
      </c>
      <c r="I27" s="18">
        <v>0</v>
      </c>
    </row>
    <row r="28" spans="1:9" ht="18" customHeight="1" x14ac:dyDescent="0.2">
      <c r="A28" s="24">
        <v>22</v>
      </c>
      <c r="B28" s="25" t="s">
        <v>28</v>
      </c>
      <c r="C28" s="26" t="s">
        <v>37</v>
      </c>
      <c r="D28" s="27">
        <v>17</v>
      </c>
      <c r="E28" s="28">
        <f t="shared" si="2"/>
        <v>0</v>
      </c>
      <c r="F28" s="29" t="str">
        <f t="shared" si="3"/>
        <v>Not Available</v>
      </c>
      <c r="G28" s="24">
        <v>3</v>
      </c>
      <c r="H28" s="24">
        <v>7</v>
      </c>
      <c r="I28" s="24">
        <v>7</v>
      </c>
    </row>
    <row r="29" spans="1:9" ht="18" customHeight="1" x14ac:dyDescent="0.2">
      <c r="A29" s="18">
        <v>23</v>
      </c>
      <c r="B29" s="19" t="s">
        <v>28</v>
      </c>
      <c r="C29" s="20" t="s">
        <v>38</v>
      </c>
      <c r="D29" s="21">
        <v>0</v>
      </c>
      <c r="E29" s="22">
        <f t="shared" si="2"/>
        <v>0</v>
      </c>
      <c r="F29" s="23" t="str">
        <f t="shared" si="3"/>
        <v>Not Available</v>
      </c>
      <c r="G29" s="18">
        <v>0</v>
      </c>
      <c r="H29" s="18">
        <v>0</v>
      </c>
      <c r="I29" s="18">
        <v>0</v>
      </c>
    </row>
    <row r="30" spans="1:9" ht="18" customHeight="1" x14ac:dyDescent="0.2">
      <c r="A30" s="24">
        <v>24</v>
      </c>
      <c r="B30" s="25" t="s">
        <v>28</v>
      </c>
      <c r="C30" s="26" t="s">
        <v>39</v>
      </c>
      <c r="D30" s="27">
        <v>0</v>
      </c>
      <c r="E30" s="28">
        <f t="shared" si="2"/>
        <v>0</v>
      </c>
      <c r="F30" s="29" t="str">
        <f t="shared" si="3"/>
        <v>Not Available</v>
      </c>
      <c r="G30" s="24">
        <v>0</v>
      </c>
      <c r="H30" s="24">
        <v>0</v>
      </c>
      <c r="I30" s="24">
        <v>0</v>
      </c>
    </row>
    <row r="31" spans="1:9" ht="18" customHeight="1" x14ac:dyDescent="0.2">
      <c r="A31" s="18">
        <v>25</v>
      </c>
      <c r="B31" s="19" t="s">
        <v>28</v>
      </c>
      <c r="C31" s="20" t="s">
        <v>40</v>
      </c>
      <c r="D31" s="21">
        <v>0</v>
      </c>
      <c r="E31" s="22">
        <f t="shared" si="2"/>
        <v>0</v>
      </c>
      <c r="F31" s="23" t="str">
        <f t="shared" si="3"/>
        <v>Not Available</v>
      </c>
      <c r="G31" s="18">
        <v>0</v>
      </c>
      <c r="H31" s="18">
        <v>0</v>
      </c>
      <c r="I31" s="18">
        <v>0</v>
      </c>
    </row>
    <row r="32" spans="1:9" ht="18" customHeight="1" x14ac:dyDescent="0.2">
      <c r="A32" s="13" t="s">
        <v>41</v>
      </c>
      <c r="B32" s="13"/>
      <c r="C32" s="13"/>
      <c r="D32" s="13"/>
      <c r="E32" s="13"/>
      <c r="F32" s="13"/>
      <c r="G32" s="13"/>
      <c r="H32" s="13"/>
      <c r="I32" s="13"/>
    </row>
    <row r="33" spans="1:9" ht="18" customHeight="1" x14ac:dyDescent="0.2">
      <c r="A33" s="18">
        <v>26</v>
      </c>
      <c r="B33" s="19" t="s">
        <v>42</v>
      </c>
      <c r="C33" s="20" t="s">
        <v>43</v>
      </c>
      <c r="D33" s="21">
        <v>1</v>
      </c>
      <c r="E33" s="22">
        <f t="shared" ref="E33:E39" si="4">D33-G33-H33-I33</f>
        <v>0</v>
      </c>
      <c r="F33" s="23" t="str">
        <f t="shared" ref="F33:F39" si="5">IF(E33&gt;0,"Available","Not Available")</f>
        <v>Not Available</v>
      </c>
      <c r="G33" s="18">
        <v>0</v>
      </c>
      <c r="H33" s="18">
        <v>0</v>
      </c>
      <c r="I33" s="18">
        <v>1</v>
      </c>
    </row>
    <row r="34" spans="1:9" ht="18" customHeight="1" x14ac:dyDescent="0.2">
      <c r="A34" s="24">
        <v>27</v>
      </c>
      <c r="B34" s="25" t="s">
        <v>42</v>
      </c>
      <c r="C34" s="26" t="s">
        <v>44</v>
      </c>
      <c r="D34" s="27">
        <v>0</v>
      </c>
      <c r="E34" s="28">
        <f t="shared" si="4"/>
        <v>0</v>
      </c>
      <c r="F34" s="29" t="str">
        <f t="shared" si="5"/>
        <v>Not Available</v>
      </c>
      <c r="G34" s="24">
        <v>0</v>
      </c>
      <c r="H34" s="24">
        <v>0</v>
      </c>
      <c r="I34" s="24">
        <v>0</v>
      </c>
    </row>
    <row r="35" spans="1:9" ht="18" customHeight="1" x14ac:dyDescent="0.2">
      <c r="A35" s="18">
        <v>28</v>
      </c>
      <c r="B35" s="19" t="s">
        <v>42</v>
      </c>
      <c r="C35" s="20" t="s">
        <v>45</v>
      </c>
      <c r="D35" s="21">
        <v>1</v>
      </c>
      <c r="E35" s="22">
        <f t="shared" si="4"/>
        <v>0</v>
      </c>
      <c r="F35" s="23" t="str">
        <f t="shared" si="5"/>
        <v>Not Available</v>
      </c>
      <c r="G35" s="18">
        <v>0</v>
      </c>
      <c r="H35" s="18">
        <v>0</v>
      </c>
      <c r="I35" s="18">
        <v>1</v>
      </c>
    </row>
    <row r="36" spans="1:9" ht="18" customHeight="1" x14ac:dyDescent="0.2">
      <c r="A36" s="24">
        <v>29</v>
      </c>
      <c r="B36" s="25" t="s">
        <v>42</v>
      </c>
      <c r="C36" s="26" t="s">
        <v>46</v>
      </c>
      <c r="D36" s="27">
        <v>1</v>
      </c>
      <c r="E36" s="28">
        <f t="shared" si="4"/>
        <v>0</v>
      </c>
      <c r="F36" s="29" t="str">
        <f t="shared" si="5"/>
        <v>Not Available</v>
      </c>
      <c r="G36" s="24">
        <v>0</v>
      </c>
      <c r="H36" s="24">
        <v>0</v>
      </c>
      <c r="I36" s="24">
        <v>1</v>
      </c>
    </row>
    <row r="37" spans="1:9" ht="18" customHeight="1" x14ac:dyDescent="0.2">
      <c r="A37" s="18">
        <v>30</v>
      </c>
      <c r="B37" s="19" t="s">
        <v>42</v>
      </c>
      <c r="C37" s="20" t="s">
        <v>47</v>
      </c>
      <c r="D37" s="21">
        <v>4</v>
      </c>
      <c r="E37" s="22">
        <f t="shared" si="4"/>
        <v>0</v>
      </c>
      <c r="F37" s="23" t="str">
        <f t="shared" si="5"/>
        <v>Not Available</v>
      </c>
      <c r="G37" s="18">
        <v>0</v>
      </c>
      <c r="H37" s="18">
        <v>0</v>
      </c>
      <c r="I37" s="18">
        <v>4</v>
      </c>
    </row>
    <row r="38" spans="1:9" ht="18" customHeight="1" x14ac:dyDescent="0.2">
      <c r="A38" s="24">
        <v>31</v>
      </c>
      <c r="B38" s="25" t="s">
        <v>42</v>
      </c>
      <c r="C38" s="26" t="s">
        <v>48</v>
      </c>
      <c r="D38" s="27">
        <v>2</v>
      </c>
      <c r="E38" s="28">
        <f t="shared" si="4"/>
        <v>0</v>
      </c>
      <c r="F38" s="29" t="str">
        <f t="shared" si="5"/>
        <v>Not Available</v>
      </c>
      <c r="G38" s="24">
        <v>0</v>
      </c>
      <c r="H38" s="24">
        <v>0</v>
      </c>
      <c r="I38" s="24">
        <v>2</v>
      </c>
    </row>
    <row r="39" spans="1:9" ht="18" customHeight="1" x14ac:dyDescent="0.2">
      <c r="A39" s="18">
        <v>32</v>
      </c>
      <c r="B39" s="19" t="s">
        <v>42</v>
      </c>
      <c r="C39" s="20" t="s">
        <v>49</v>
      </c>
      <c r="D39" s="21">
        <v>3</v>
      </c>
      <c r="E39" s="22">
        <f t="shared" si="4"/>
        <v>0</v>
      </c>
      <c r="F39" s="23" t="str">
        <f t="shared" si="5"/>
        <v>Not Available</v>
      </c>
      <c r="G39" s="18">
        <v>0</v>
      </c>
      <c r="H39" s="18">
        <v>0</v>
      </c>
      <c r="I39" s="18">
        <v>3</v>
      </c>
    </row>
    <row r="40" spans="1:9" ht="18" customHeight="1" x14ac:dyDescent="0.2">
      <c r="A40" s="13" t="s">
        <v>50</v>
      </c>
      <c r="B40" s="13"/>
      <c r="C40" s="13"/>
      <c r="D40" s="13"/>
      <c r="E40" s="13"/>
      <c r="F40" s="13"/>
      <c r="G40" s="13"/>
      <c r="H40" s="13"/>
      <c r="I40" s="13"/>
    </row>
    <row r="41" spans="1:9" ht="18" customHeight="1" x14ac:dyDescent="0.2">
      <c r="A41" s="18">
        <v>33</v>
      </c>
      <c r="B41" s="19" t="s">
        <v>51</v>
      </c>
      <c r="C41" s="20" t="s">
        <v>52</v>
      </c>
      <c r="D41" s="21">
        <v>2</v>
      </c>
      <c r="E41" s="22">
        <f>D41-G41-H41-I41</f>
        <v>1</v>
      </c>
      <c r="F41" s="23" t="str">
        <f>IF(E41&gt;0,"Available","Not Available")</f>
        <v>Available</v>
      </c>
      <c r="G41" s="18">
        <v>1</v>
      </c>
      <c r="H41" s="18">
        <v>0</v>
      </c>
      <c r="I41" s="18">
        <v>0</v>
      </c>
    </row>
    <row r="42" spans="1:9" ht="18" customHeight="1" x14ac:dyDescent="0.2">
      <c r="A42" s="24">
        <v>34</v>
      </c>
      <c r="B42" s="25" t="s">
        <v>51</v>
      </c>
      <c r="C42" s="26" t="s">
        <v>53</v>
      </c>
      <c r="D42" s="27">
        <v>2</v>
      </c>
      <c r="E42" s="28">
        <f>D42-G42-H42-I42</f>
        <v>0</v>
      </c>
      <c r="F42" s="29" t="str">
        <f>IF(E42&gt;0,"Available","Not Available")</f>
        <v>Not Available</v>
      </c>
      <c r="G42" s="24">
        <v>0</v>
      </c>
      <c r="H42" s="24">
        <v>0</v>
      </c>
      <c r="I42" s="24">
        <v>2</v>
      </c>
    </row>
    <row r="43" spans="1:9" ht="18" customHeight="1" x14ac:dyDescent="0.2">
      <c r="A43" s="18">
        <v>35</v>
      </c>
      <c r="B43" s="19" t="s">
        <v>51</v>
      </c>
      <c r="C43" s="20" t="s">
        <v>54</v>
      </c>
      <c r="D43" s="21">
        <v>0</v>
      </c>
      <c r="E43" s="22">
        <f>D43-G43-H43-I43</f>
        <v>0</v>
      </c>
      <c r="F43" s="23" t="str">
        <f>IF(E43&gt;0,"Available","Not Available")</f>
        <v>Not Available</v>
      </c>
      <c r="G43" s="18">
        <v>0</v>
      </c>
      <c r="H43" s="18">
        <v>0</v>
      </c>
      <c r="I43" s="18">
        <v>0</v>
      </c>
    </row>
    <row r="44" spans="1:9" ht="21.75" customHeight="1" x14ac:dyDescent="0.2">
      <c r="A44" s="12" t="s">
        <v>55</v>
      </c>
      <c r="B44" s="12"/>
      <c r="C44" s="12"/>
      <c r="D44" s="30">
        <f>SUM(D4:D43)</f>
        <v>126</v>
      </c>
      <c r="E44" s="30">
        <f>SUM(E4:E43)</f>
        <v>1</v>
      </c>
      <c r="F44" s="31"/>
      <c r="G44" s="30">
        <f>SUM(G4:G43)</f>
        <v>27</v>
      </c>
      <c r="H44" s="30">
        <f>SUM(H4:H43)</f>
        <v>35</v>
      </c>
      <c r="I44" s="30">
        <f>SUM(I4:I43)</f>
        <v>63</v>
      </c>
    </row>
  </sheetData>
  <mergeCells count="7">
    <mergeCell ref="A40:I40"/>
    <mergeCell ref="A44:C44"/>
    <mergeCell ref="A1:I1"/>
    <mergeCell ref="A4:I4"/>
    <mergeCell ref="A8:I8"/>
    <mergeCell ref="A19:I19"/>
    <mergeCell ref="A32:I32"/>
  </mergeCells>
  <conditionalFormatting sqref="E4:E43">
    <cfRule type="expression" dxfId="20" priority="4">
      <formula>E4&gt;0</formula>
    </cfRule>
  </conditionalFormatting>
  <conditionalFormatting sqref="F4:F43">
    <cfRule type="expression" dxfId="19" priority="2">
      <formula>F4="Available"</formula>
    </cfRule>
    <cfRule type="expression" dxfId="18" priority="3">
      <formula>F4="Not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zoomScaleNormal="100" workbookViewId="0">
      <pane ySplit="3" topLeftCell="A4" activePane="bottomLeft" state="frozen"/>
      <selection pane="bottomLeft" activeCell="F28" sqref="F28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11" t="s">
        <v>56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8" customHeight="1" x14ac:dyDescent="0.2">
      <c r="A2" s="32"/>
    </row>
    <row r="3" spans="1:10" ht="36" customHeight="1" x14ac:dyDescent="0.2">
      <c r="A3" s="33" t="s">
        <v>1</v>
      </c>
      <c r="B3" s="33" t="s">
        <v>2</v>
      </c>
      <c r="C3" s="33" t="s">
        <v>3</v>
      </c>
      <c r="D3" s="33" t="s">
        <v>57</v>
      </c>
      <c r="E3" s="33" t="s">
        <v>58</v>
      </c>
      <c r="F3" s="33" t="s">
        <v>5</v>
      </c>
      <c r="G3" s="33" t="s">
        <v>6</v>
      </c>
      <c r="H3" s="33" t="s">
        <v>59</v>
      </c>
      <c r="I3" s="33" t="s">
        <v>60</v>
      </c>
      <c r="J3" s="33" t="s">
        <v>61</v>
      </c>
    </row>
    <row r="4" spans="1:10" ht="18" customHeight="1" x14ac:dyDescent="0.2">
      <c r="A4" s="10" t="s">
        <v>10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1</v>
      </c>
      <c r="E5" s="18">
        <v>0</v>
      </c>
      <c r="F5" s="23">
        <f>D5-E5</f>
        <v>1</v>
      </c>
      <c r="G5" s="23" t="str">
        <f>IF(F5&gt;0,"Available","Not Available")</f>
        <v>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1</v>
      </c>
      <c r="E6" s="24">
        <v>0</v>
      </c>
      <c r="F6" s="29">
        <f>D6-E6</f>
        <v>1</v>
      </c>
      <c r="G6" s="29" t="str">
        <f>IF(F6&gt;0,"Available","Not Available")</f>
        <v>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10" t="s">
        <v>15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20</v>
      </c>
      <c r="E9" s="18">
        <v>5</v>
      </c>
      <c r="F9" s="23">
        <f t="shared" ref="F9:F18" si="0">D9-E9</f>
        <v>15</v>
      </c>
      <c r="G9" s="23" t="str">
        <f t="shared" ref="G9:G18" si="1">IF(F9&gt;0,"Available","Not Available")</f>
        <v>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23</v>
      </c>
      <c r="E10" s="24">
        <v>6</v>
      </c>
      <c r="F10" s="29">
        <f t="shared" si="0"/>
        <v>17</v>
      </c>
      <c r="G10" s="29" t="str">
        <f t="shared" si="1"/>
        <v>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1</v>
      </c>
      <c r="E11" s="18">
        <v>0</v>
      </c>
      <c r="F11" s="23">
        <f t="shared" si="0"/>
        <v>1</v>
      </c>
      <c r="G11" s="23" t="str">
        <f t="shared" si="1"/>
        <v>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2</v>
      </c>
      <c r="E12" s="24">
        <v>0</v>
      </c>
      <c r="F12" s="29">
        <f t="shared" si="0"/>
        <v>2</v>
      </c>
      <c r="G12" s="29" t="str">
        <f t="shared" si="1"/>
        <v>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4</v>
      </c>
      <c r="E13" s="18">
        <v>0</v>
      </c>
      <c r="F13" s="23">
        <f t="shared" si="0"/>
        <v>4</v>
      </c>
      <c r="G13" s="23" t="str">
        <f t="shared" si="1"/>
        <v>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8</v>
      </c>
      <c r="E14" s="24">
        <v>7</v>
      </c>
      <c r="F14" s="29">
        <f t="shared" si="0"/>
        <v>1</v>
      </c>
      <c r="G14" s="29" t="str">
        <f t="shared" si="1"/>
        <v>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9</v>
      </c>
      <c r="E15" s="18">
        <v>0</v>
      </c>
      <c r="F15" s="23">
        <f t="shared" si="0"/>
        <v>9</v>
      </c>
      <c r="G15" s="23" t="str">
        <f t="shared" si="1"/>
        <v>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3</v>
      </c>
      <c r="E16" s="24">
        <v>0</v>
      </c>
      <c r="F16" s="29">
        <f t="shared" si="0"/>
        <v>3</v>
      </c>
      <c r="G16" s="29" t="str">
        <f t="shared" si="1"/>
        <v>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8</v>
      </c>
      <c r="E17" s="18">
        <v>0</v>
      </c>
      <c r="F17" s="23">
        <f t="shared" si="0"/>
        <v>8</v>
      </c>
      <c r="G17" s="23" t="str">
        <f t="shared" si="1"/>
        <v>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6</v>
      </c>
      <c r="E18" s="24">
        <v>3</v>
      </c>
      <c r="F18" s="29">
        <f t="shared" si="0"/>
        <v>3</v>
      </c>
      <c r="G18" s="29" t="str">
        <f t="shared" si="1"/>
        <v>Available</v>
      </c>
      <c r="H18" s="35"/>
      <c r="I18" s="35"/>
      <c r="J18" s="35"/>
    </row>
    <row r="19" spans="1:10" ht="18" customHeight="1" x14ac:dyDescent="0.2">
      <c r="A19" s="10" t="s">
        <v>27</v>
      </c>
      <c r="B19" s="10"/>
      <c r="C19" s="10"/>
      <c r="D19" s="10"/>
      <c r="E19" s="10"/>
      <c r="F19" s="10"/>
      <c r="G19" s="10"/>
      <c r="H19" s="10"/>
      <c r="I19" s="10"/>
      <c r="J19" s="10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4</v>
      </c>
      <c r="E23" s="18">
        <v>2</v>
      </c>
      <c r="F23" s="23">
        <f t="shared" si="2"/>
        <v>2</v>
      </c>
      <c r="G23" s="23" t="str">
        <f t="shared" si="3"/>
        <v>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1</v>
      </c>
      <c r="E26" s="24">
        <v>0</v>
      </c>
      <c r="F26" s="29">
        <f t="shared" si="2"/>
        <v>1</v>
      </c>
      <c r="G26" s="29" t="str">
        <f t="shared" si="3"/>
        <v>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2</v>
      </c>
      <c r="E27" s="18">
        <v>0</v>
      </c>
      <c r="F27" s="23">
        <f t="shared" si="2"/>
        <v>2</v>
      </c>
      <c r="G27" s="23" t="str">
        <f t="shared" si="3"/>
        <v>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17</v>
      </c>
      <c r="E28" s="24">
        <v>3</v>
      </c>
      <c r="F28" s="29">
        <f t="shared" si="2"/>
        <v>14</v>
      </c>
      <c r="G28" s="29" t="str">
        <f t="shared" si="3"/>
        <v>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10" t="s">
        <v>41</v>
      </c>
      <c r="B32" s="10"/>
      <c r="C32" s="10"/>
      <c r="D32" s="10"/>
      <c r="E32" s="10"/>
      <c r="F32" s="10"/>
      <c r="G32" s="10"/>
      <c r="H32" s="10"/>
      <c r="I32" s="10"/>
      <c r="J32" s="10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1</v>
      </c>
      <c r="E33" s="18">
        <v>0</v>
      </c>
      <c r="F33" s="23">
        <f t="shared" ref="F33:F39" si="4">D33-E33</f>
        <v>1</v>
      </c>
      <c r="G33" s="23" t="str">
        <f t="shared" ref="G33:G39" si="5">IF(F33&gt;0,"Available","Not Available")</f>
        <v>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1</v>
      </c>
      <c r="E35" s="18">
        <v>0</v>
      </c>
      <c r="F35" s="23">
        <f t="shared" si="4"/>
        <v>1</v>
      </c>
      <c r="G35" s="23" t="str">
        <f t="shared" si="5"/>
        <v>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1</v>
      </c>
      <c r="E36" s="24">
        <v>0</v>
      </c>
      <c r="F36" s="29">
        <f t="shared" si="4"/>
        <v>1</v>
      </c>
      <c r="G36" s="29" t="str">
        <f t="shared" si="5"/>
        <v>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4</v>
      </c>
      <c r="E37" s="18">
        <v>0</v>
      </c>
      <c r="F37" s="23">
        <f t="shared" si="4"/>
        <v>4</v>
      </c>
      <c r="G37" s="23" t="str">
        <f t="shared" si="5"/>
        <v>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2</v>
      </c>
      <c r="E38" s="24">
        <v>0</v>
      </c>
      <c r="F38" s="29">
        <f t="shared" si="4"/>
        <v>2</v>
      </c>
      <c r="G38" s="29" t="str">
        <f t="shared" si="5"/>
        <v>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3</v>
      </c>
      <c r="E39" s="18">
        <v>0</v>
      </c>
      <c r="F39" s="23">
        <f t="shared" si="4"/>
        <v>3</v>
      </c>
      <c r="G39" s="23" t="str">
        <f t="shared" si="5"/>
        <v>Available</v>
      </c>
      <c r="H39" s="34"/>
      <c r="I39" s="34"/>
      <c r="J39" s="34"/>
    </row>
    <row r="40" spans="1:10" ht="18" customHeight="1" x14ac:dyDescent="0.2">
      <c r="A40" s="10" t="s">
        <v>50</v>
      </c>
      <c r="B40" s="10"/>
      <c r="C40" s="10"/>
      <c r="D40" s="10"/>
      <c r="E40" s="10"/>
      <c r="F40" s="10"/>
      <c r="G40" s="10"/>
      <c r="H40" s="10"/>
      <c r="I40" s="10"/>
      <c r="J40" s="10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2</v>
      </c>
      <c r="E41" s="18">
        <v>0</v>
      </c>
      <c r="F41" s="23">
        <f>D41-E41</f>
        <v>2</v>
      </c>
      <c r="G41" s="23" t="str">
        <f>IF(F41&gt;0,"Available","Not Available")</f>
        <v>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2</v>
      </c>
      <c r="E42" s="24">
        <v>0</v>
      </c>
      <c r="F42" s="29">
        <f>D42-E42</f>
        <v>2</v>
      </c>
      <c r="G42" s="29" t="str">
        <f>IF(F42&gt;0,"Available","Not Available")</f>
        <v>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9" t="s">
        <v>55</v>
      </c>
      <c r="B44" s="9"/>
      <c r="C44" s="9"/>
      <c r="D44" s="36">
        <f>SUM(D4:D43)</f>
        <v>126</v>
      </c>
      <c r="E44" s="36">
        <f>SUM(E4:E43)</f>
        <v>26</v>
      </c>
      <c r="F44" s="36">
        <f>SUM(F4:F43)</f>
        <v>100</v>
      </c>
      <c r="G44" s="37"/>
      <c r="H44" s="37"/>
      <c r="I44" s="37"/>
      <c r="J44" s="37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17" priority="2">
      <formula>G4="Available"</formula>
    </cfRule>
    <cfRule type="expression" dxfId="16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8" t="s">
        <v>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 customHeight="1" x14ac:dyDescent="0.2">
      <c r="A2" s="38"/>
    </row>
    <row r="3" spans="1:10" ht="36" customHeight="1" x14ac:dyDescent="0.2">
      <c r="A3" s="39" t="s">
        <v>1</v>
      </c>
      <c r="B3" s="39" t="s">
        <v>2</v>
      </c>
      <c r="C3" s="39" t="s">
        <v>3</v>
      </c>
      <c r="D3" s="39" t="s">
        <v>57</v>
      </c>
      <c r="E3" s="39" t="s">
        <v>58</v>
      </c>
      <c r="F3" s="39" t="s">
        <v>5</v>
      </c>
      <c r="G3" s="39" t="s">
        <v>6</v>
      </c>
      <c r="H3" s="39" t="s">
        <v>59</v>
      </c>
      <c r="I3" s="39" t="s">
        <v>60</v>
      </c>
      <c r="J3" s="39" t="s">
        <v>61</v>
      </c>
    </row>
    <row r="4" spans="1:10" ht="18" customHeight="1" x14ac:dyDescent="0.2">
      <c r="A4" s="7" t="s">
        <v>10</v>
      </c>
      <c r="B4" s="7"/>
      <c r="C4" s="7"/>
      <c r="D4" s="7"/>
      <c r="E4" s="7"/>
      <c r="F4" s="7"/>
      <c r="G4" s="7"/>
      <c r="H4" s="7"/>
      <c r="I4" s="7"/>
      <c r="J4" s="7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1</v>
      </c>
      <c r="E5" s="18">
        <v>0</v>
      </c>
      <c r="F5" s="23">
        <f>D5-E5</f>
        <v>1</v>
      </c>
      <c r="G5" s="23" t="str">
        <f>IF(F5&gt;0,"Available","Not Available")</f>
        <v>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1</v>
      </c>
      <c r="E6" s="24">
        <v>0</v>
      </c>
      <c r="F6" s="29">
        <f>D6-E6</f>
        <v>1</v>
      </c>
      <c r="G6" s="29" t="str">
        <f>IF(F6&gt;0,"Available","Not Available")</f>
        <v>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7" t="s">
        <v>15</v>
      </c>
      <c r="B8" s="7"/>
      <c r="C8" s="7"/>
      <c r="D8" s="7"/>
      <c r="E8" s="7"/>
      <c r="F8" s="7"/>
      <c r="G8" s="7"/>
      <c r="H8" s="7"/>
      <c r="I8" s="7"/>
      <c r="J8" s="7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20</v>
      </c>
      <c r="E9" s="18">
        <v>11</v>
      </c>
      <c r="F9" s="23">
        <f t="shared" ref="F9:F18" si="0">D9-E9</f>
        <v>9</v>
      </c>
      <c r="G9" s="23" t="str">
        <f t="shared" ref="G9:G18" si="1">IF(F9&gt;0,"Available","Not Available")</f>
        <v>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23</v>
      </c>
      <c r="E10" s="24">
        <v>11</v>
      </c>
      <c r="F10" s="29">
        <f t="shared" si="0"/>
        <v>12</v>
      </c>
      <c r="G10" s="29" t="str">
        <f t="shared" si="1"/>
        <v>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1</v>
      </c>
      <c r="E11" s="18">
        <v>0</v>
      </c>
      <c r="F11" s="23">
        <f t="shared" si="0"/>
        <v>1</v>
      </c>
      <c r="G11" s="23" t="str">
        <f t="shared" si="1"/>
        <v>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2</v>
      </c>
      <c r="E12" s="24">
        <v>0</v>
      </c>
      <c r="F12" s="29">
        <f t="shared" si="0"/>
        <v>2</v>
      </c>
      <c r="G12" s="29" t="str">
        <f t="shared" si="1"/>
        <v>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4</v>
      </c>
      <c r="E13" s="18">
        <v>0</v>
      </c>
      <c r="F13" s="23">
        <f t="shared" si="0"/>
        <v>4</v>
      </c>
      <c r="G13" s="23" t="str">
        <f t="shared" si="1"/>
        <v>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8</v>
      </c>
      <c r="E14" s="24">
        <v>0</v>
      </c>
      <c r="F14" s="29">
        <f t="shared" si="0"/>
        <v>8</v>
      </c>
      <c r="G14" s="29" t="str">
        <f t="shared" si="1"/>
        <v>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9</v>
      </c>
      <c r="E15" s="18">
        <v>1</v>
      </c>
      <c r="F15" s="23">
        <f t="shared" si="0"/>
        <v>8</v>
      </c>
      <c r="G15" s="23" t="str">
        <f t="shared" si="1"/>
        <v>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3</v>
      </c>
      <c r="E16" s="24">
        <v>2</v>
      </c>
      <c r="F16" s="29">
        <f t="shared" si="0"/>
        <v>1</v>
      </c>
      <c r="G16" s="29" t="str">
        <f t="shared" si="1"/>
        <v>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8</v>
      </c>
      <c r="E17" s="18">
        <v>0</v>
      </c>
      <c r="F17" s="23">
        <f t="shared" si="0"/>
        <v>8</v>
      </c>
      <c r="G17" s="23" t="str">
        <f t="shared" si="1"/>
        <v>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6</v>
      </c>
      <c r="E18" s="24">
        <v>0</v>
      </c>
      <c r="F18" s="29">
        <f t="shared" si="0"/>
        <v>6</v>
      </c>
      <c r="G18" s="29" t="str">
        <f t="shared" si="1"/>
        <v>Available</v>
      </c>
      <c r="H18" s="35"/>
      <c r="I18" s="35"/>
      <c r="J18" s="35"/>
    </row>
    <row r="19" spans="1:10" ht="18" customHeight="1" x14ac:dyDescent="0.2">
      <c r="A19" s="7" t="s">
        <v>27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4</v>
      </c>
      <c r="E23" s="18">
        <v>0</v>
      </c>
      <c r="F23" s="23">
        <f t="shared" si="2"/>
        <v>4</v>
      </c>
      <c r="G23" s="23" t="str">
        <f t="shared" si="3"/>
        <v>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1</v>
      </c>
      <c r="E26" s="24">
        <v>1</v>
      </c>
      <c r="F26" s="29">
        <f t="shared" si="2"/>
        <v>0</v>
      </c>
      <c r="G26" s="29" t="str">
        <f t="shared" si="3"/>
        <v>Not 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2</v>
      </c>
      <c r="E27" s="18">
        <v>2</v>
      </c>
      <c r="F27" s="23">
        <f t="shared" si="2"/>
        <v>0</v>
      </c>
      <c r="G27" s="23" t="str">
        <f t="shared" si="3"/>
        <v>Not 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17</v>
      </c>
      <c r="E28" s="24">
        <v>7</v>
      </c>
      <c r="F28" s="29">
        <f t="shared" si="2"/>
        <v>10</v>
      </c>
      <c r="G28" s="29" t="str">
        <f t="shared" si="3"/>
        <v>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7" t="s">
        <v>41</v>
      </c>
      <c r="B32" s="7"/>
      <c r="C32" s="7"/>
      <c r="D32" s="7"/>
      <c r="E32" s="7"/>
      <c r="F32" s="7"/>
      <c r="G32" s="7"/>
      <c r="H32" s="7"/>
      <c r="I32" s="7"/>
      <c r="J32" s="7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1</v>
      </c>
      <c r="E33" s="18">
        <v>0</v>
      </c>
      <c r="F33" s="23">
        <f t="shared" ref="F33:F39" si="4">D33-E33</f>
        <v>1</v>
      </c>
      <c r="G33" s="23" t="str">
        <f t="shared" ref="G33:G39" si="5">IF(F33&gt;0,"Available","Not Available")</f>
        <v>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1</v>
      </c>
      <c r="E35" s="18">
        <v>0</v>
      </c>
      <c r="F35" s="23">
        <f t="shared" si="4"/>
        <v>1</v>
      </c>
      <c r="G35" s="23" t="str">
        <f t="shared" si="5"/>
        <v>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1</v>
      </c>
      <c r="E36" s="24">
        <v>0</v>
      </c>
      <c r="F36" s="29">
        <f t="shared" si="4"/>
        <v>1</v>
      </c>
      <c r="G36" s="29" t="str">
        <f t="shared" si="5"/>
        <v>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4</v>
      </c>
      <c r="E37" s="18">
        <v>0</v>
      </c>
      <c r="F37" s="23">
        <f t="shared" si="4"/>
        <v>4</v>
      </c>
      <c r="G37" s="23" t="str">
        <f t="shared" si="5"/>
        <v>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2</v>
      </c>
      <c r="E38" s="24">
        <v>0</v>
      </c>
      <c r="F38" s="29">
        <f t="shared" si="4"/>
        <v>2</v>
      </c>
      <c r="G38" s="29" t="str">
        <f t="shared" si="5"/>
        <v>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3</v>
      </c>
      <c r="E39" s="18">
        <v>0</v>
      </c>
      <c r="F39" s="23">
        <f t="shared" si="4"/>
        <v>3</v>
      </c>
      <c r="G39" s="23" t="str">
        <f t="shared" si="5"/>
        <v>Available</v>
      </c>
      <c r="H39" s="34"/>
      <c r="I39" s="34"/>
      <c r="J39" s="34"/>
    </row>
    <row r="40" spans="1:10" ht="18" customHeight="1" x14ac:dyDescent="0.2">
      <c r="A40" s="7" t="s">
        <v>50</v>
      </c>
      <c r="B40" s="7"/>
      <c r="C40" s="7"/>
      <c r="D40" s="7"/>
      <c r="E40" s="7"/>
      <c r="F40" s="7"/>
      <c r="G40" s="7"/>
      <c r="H40" s="7"/>
      <c r="I40" s="7"/>
      <c r="J40" s="7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2</v>
      </c>
      <c r="E41" s="18">
        <v>0</v>
      </c>
      <c r="F41" s="23">
        <f>D41-E41</f>
        <v>2</v>
      </c>
      <c r="G41" s="23" t="str">
        <f>IF(F41&gt;0,"Available","Not Available")</f>
        <v>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2</v>
      </c>
      <c r="E42" s="24">
        <v>0</v>
      </c>
      <c r="F42" s="29">
        <f>D42-E42</f>
        <v>2</v>
      </c>
      <c r="G42" s="29" t="str">
        <f>IF(F42&gt;0,"Available","Not Available")</f>
        <v>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6" t="s">
        <v>55</v>
      </c>
      <c r="B44" s="6"/>
      <c r="C44" s="6"/>
      <c r="D44" s="40">
        <f>SUM(D4:D43)</f>
        <v>126</v>
      </c>
      <c r="E44" s="40">
        <f>SUM(E4:E43)</f>
        <v>35</v>
      </c>
      <c r="F44" s="40">
        <f>SUM(F4:F43)</f>
        <v>91</v>
      </c>
      <c r="G44" s="41"/>
      <c r="H44" s="41"/>
      <c r="I44" s="41"/>
      <c r="J44" s="41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15" priority="2">
      <formula>G4="Available"</formula>
    </cfRule>
    <cfRule type="expression" dxfId="14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5" t="s">
        <v>63</v>
      </c>
      <c r="B1" s="5"/>
      <c r="C1" s="5"/>
      <c r="D1" s="5"/>
      <c r="E1" s="5"/>
      <c r="F1" s="5"/>
      <c r="G1" s="5"/>
      <c r="H1" s="5"/>
      <c r="I1" s="5"/>
      <c r="J1" s="5"/>
    </row>
    <row r="2" spans="1:10" ht="18" customHeight="1" x14ac:dyDescent="0.2">
      <c r="A2" s="42"/>
    </row>
    <row r="3" spans="1:10" ht="36" customHeight="1" x14ac:dyDescent="0.2">
      <c r="A3" s="43" t="s">
        <v>1</v>
      </c>
      <c r="B3" s="43" t="s">
        <v>2</v>
      </c>
      <c r="C3" s="43" t="s">
        <v>3</v>
      </c>
      <c r="D3" s="43" t="s">
        <v>57</v>
      </c>
      <c r="E3" s="43" t="s">
        <v>58</v>
      </c>
      <c r="F3" s="43" t="s">
        <v>5</v>
      </c>
      <c r="G3" s="43" t="s">
        <v>6</v>
      </c>
      <c r="H3" s="43" t="s">
        <v>59</v>
      </c>
      <c r="I3" s="43" t="s">
        <v>60</v>
      </c>
      <c r="J3" s="43" t="s">
        <v>61</v>
      </c>
    </row>
    <row r="4" spans="1:10" ht="18" customHeight="1" x14ac:dyDescent="0.2">
      <c r="A4" s="4" t="s">
        <v>10</v>
      </c>
      <c r="B4" s="4"/>
      <c r="C4" s="4"/>
      <c r="D4" s="4"/>
      <c r="E4" s="4"/>
      <c r="F4" s="4"/>
      <c r="G4" s="4"/>
      <c r="H4" s="4"/>
      <c r="I4" s="4"/>
      <c r="J4" s="4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1</v>
      </c>
      <c r="E5" s="18">
        <v>1</v>
      </c>
      <c r="F5" s="23">
        <f>D5-E5</f>
        <v>0</v>
      </c>
      <c r="G5" s="23" t="str">
        <f>IF(F5&gt;0,"Available","Not Available")</f>
        <v>Not 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1</v>
      </c>
      <c r="E6" s="24">
        <v>1</v>
      </c>
      <c r="F6" s="29">
        <f>D6-E6</f>
        <v>0</v>
      </c>
      <c r="G6" s="29" t="str">
        <f>IF(F6&gt;0,"Available","Not Available")</f>
        <v>Not 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4" t="s">
        <v>15</v>
      </c>
      <c r="B8" s="4"/>
      <c r="C8" s="4"/>
      <c r="D8" s="4"/>
      <c r="E8" s="4"/>
      <c r="F8" s="4"/>
      <c r="G8" s="4"/>
      <c r="H8" s="4"/>
      <c r="I8" s="4"/>
      <c r="J8" s="4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20</v>
      </c>
      <c r="E9" s="18">
        <v>4</v>
      </c>
      <c r="F9" s="23">
        <f t="shared" ref="F9:F18" si="0">D9-E9</f>
        <v>16</v>
      </c>
      <c r="G9" s="23" t="str">
        <f t="shared" ref="G9:G18" si="1">IF(F9&gt;0,"Available","Not Available")</f>
        <v>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23</v>
      </c>
      <c r="E10" s="24">
        <v>6</v>
      </c>
      <c r="F10" s="29">
        <f t="shared" si="0"/>
        <v>17</v>
      </c>
      <c r="G10" s="29" t="str">
        <f t="shared" si="1"/>
        <v>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1</v>
      </c>
      <c r="E11" s="18">
        <v>1</v>
      </c>
      <c r="F11" s="23">
        <f t="shared" si="0"/>
        <v>0</v>
      </c>
      <c r="G11" s="23" t="str">
        <f t="shared" si="1"/>
        <v>Not 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2</v>
      </c>
      <c r="E12" s="24">
        <v>2</v>
      </c>
      <c r="F12" s="29">
        <f t="shared" si="0"/>
        <v>0</v>
      </c>
      <c r="G12" s="29" t="str">
        <f t="shared" si="1"/>
        <v>Not 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4</v>
      </c>
      <c r="E13" s="18">
        <v>4</v>
      </c>
      <c r="F13" s="23">
        <f t="shared" si="0"/>
        <v>0</v>
      </c>
      <c r="G13" s="23" t="str">
        <f t="shared" si="1"/>
        <v>Not 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8</v>
      </c>
      <c r="E14" s="24">
        <v>1</v>
      </c>
      <c r="F14" s="29">
        <f t="shared" si="0"/>
        <v>7</v>
      </c>
      <c r="G14" s="29" t="str">
        <f t="shared" si="1"/>
        <v>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9</v>
      </c>
      <c r="E15" s="18">
        <v>8</v>
      </c>
      <c r="F15" s="23">
        <f t="shared" si="0"/>
        <v>1</v>
      </c>
      <c r="G15" s="23" t="str">
        <f t="shared" si="1"/>
        <v>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3</v>
      </c>
      <c r="E16" s="24">
        <v>1</v>
      </c>
      <c r="F16" s="29">
        <f t="shared" si="0"/>
        <v>2</v>
      </c>
      <c r="G16" s="29" t="str">
        <f t="shared" si="1"/>
        <v>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8</v>
      </c>
      <c r="E17" s="18">
        <v>8</v>
      </c>
      <c r="F17" s="23">
        <f t="shared" si="0"/>
        <v>0</v>
      </c>
      <c r="G17" s="23" t="str">
        <f t="shared" si="1"/>
        <v>Not 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6</v>
      </c>
      <c r="E18" s="24">
        <v>3</v>
      </c>
      <c r="F18" s="29">
        <f t="shared" si="0"/>
        <v>3</v>
      </c>
      <c r="G18" s="29" t="str">
        <f t="shared" si="1"/>
        <v>Available</v>
      </c>
      <c r="H18" s="35"/>
      <c r="I18" s="35"/>
      <c r="J18" s="35"/>
    </row>
    <row r="19" spans="1:10" ht="18" customHeight="1" x14ac:dyDescent="0.2">
      <c r="A19" s="4" t="s">
        <v>27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4</v>
      </c>
      <c r="E23" s="18">
        <v>2</v>
      </c>
      <c r="F23" s="23">
        <f t="shared" si="2"/>
        <v>2</v>
      </c>
      <c r="G23" s="23" t="str">
        <f t="shared" si="3"/>
        <v>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1</v>
      </c>
      <c r="E26" s="24">
        <v>0</v>
      </c>
      <c r="F26" s="29">
        <f t="shared" si="2"/>
        <v>1</v>
      </c>
      <c r="G26" s="29" t="str">
        <f t="shared" si="3"/>
        <v>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2</v>
      </c>
      <c r="E27" s="18">
        <v>0</v>
      </c>
      <c r="F27" s="23">
        <f t="shared" si="2"/>
        <v>2</v>
      </c>
      <c r="G27" s="23" t="str">
        <f t="shared" si="3"/>
        <v>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17</v>
      </c>
      <c r="E28" s="24">
        <v>7</v>
      </c>
      <c r="F28" s="29">
        <f t="shared" si="2"/>
        <v>10</v>
      </c>
      <c r="G28" s="29" t="str">
        <f t="shared" si="3"/>
        <v>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4" t="s">
        <v>41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1</v>
      </c>
      <c r="E33" s="18">
        <v>1</v>
      </c>
      <c r="F33" s="23">
        <f t="shared" ref="F33:F39" si="4">D33-E33</f>
        <v>0</v>
      </c>
      <c r="G33" s="23" t="str">
        <f t="shared" ref="G33:G39" si="5">IF(F33&gt;0,"Available","Not Available")</f>
        <v>Not 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1</v>
      </c>
      <c r="E35" s="18">
        <v>1</v>
      </c>
      <c r="F35" s="23">
        <f t="shared" si="4"/>
        <v>0</v>
      </c>
      <c r="G35" s="23" t="str">
        <f t="shared" si="5"/>
        <v>Not 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1</v>
      </c>
      <c r="E36" s="24">
        <v>1</v>
      </c>
      <c r="F36" s="29">
        <f t="shared" si="4"/>
        <v>0</v>
      </c>
      <c r="G36" s="29" t="str">
        <f t="shared" si="5"/>
        <v>Not 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4</v>
      </c>
      <c r="E37" s="18">
        <v>4</v>
      </c>
      <c r="F37" s="23">
        <f t="shared" si="4"/>
        <v>0</v>
      </c>
      <c r="G37" s="23" t="str">
        <f t="shared" si="5"/>
        <v>Not 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2</v>
      </c>
      <c r="E38" s="24">
        <v>2</v>
      </c>
      <c r="F38" s="29">
        <f t="shared" si="4"/>
        <v>0</v>
      </c>
      <c r="G38" s="29" t="str">
        <f t="shared" si="5"/>
        <v>Not 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3</v>
      </c>
      <c r="E39" s="18">
        <v>3</v>
      </c>
      <c r="F39" s="23">
        <f t="shared" si="4"/>
        <v>0</v>
      </c>
      <c r="G39" s="23" t="str">
        <f t="shared" si="5"/>
        <v>Not Available</v>
      </c>
      <c r="H39" s="34"/>
      <c r="I39" s="34"/>
      <c r="J39" s="34"/>
    </row>
    <row r="40" spans="1:10" ht="18" customHeight="1" x14ac:dyDescent="0.2">
      <c r="A40" s="4" t="s">
        <v>50</v>
      </c>
      <c r="B40" s="4"/>
      <c r="C40" s="4"/>
      <c r="D40" s="4"/>
      <c r="E40" s="4"/>
      <c r="F40" s="4"/>
      <c r="G40" s="4"/>
      <c r="H40" s="4"/>
      <c r="I40" s="4"/>
      <c r="J40" s="4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2</v>
      </c>
      <c r="E41" s="18">
        <v>2</v>
      </c>
      <c r="F41" s="23">
        <f>D41-E41</f>
        <v>0</v>
      </c>
      <c r="G41" s="23" t="str">
        <f>IF(F41&gt;0,"Available","Not Available")</f>
        <v>Not 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2</v>
      </c>
      <c r="E42" s="24">
        <v>2</v>
      </c>
      <c r="F42" s="29">
        <f>D42-E42</f>
        <v>0</v>
      </c>
      <c r="G42" s="29" t="str">
        <f>IF(F42&gt;0,"Available","Not Available")</f>
        <v>Not 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3" t="s">
        <v>55</v>
      </c>
      <c r="B44" s="3"/>
      <c r="C44" s="3"/>
      <c r="D44" s="44">
        <f>SUM(D4:D43)</f>
        <v>126</v>
      </c>
      <c r="E44" s="44">
        <f>SUM(E4:E43)</f>
        <v>65</v>
      </c>
      <c r="F44" s="44">
        <f>SUM(F4:F43)</f>
        <v>61</v>
      </c>
      <c r="G44" s="45"/>
      <c r="H44" s="45"/>
      <c r="I44" s="45"/>
      <c r="J44" s="45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13" priority="2">
      <formula>G4="Available"</formula>
    </cfRule>
    <cfRule type="expression" dxfId="12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2" t="s">
        <v>64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">
      <c r="A2" s="46" t="s">
        <v>65</v>
      </c>
      <c r="B2" s="47"/>
      <c r="C2" s="46" t="s">
        <v>66</v>
      </c>
      <c r="D2" s="47"/>
      <c r="E2" s="46" t="s">
        <v>67</v>
      </c>
      <c r="F2" s="47"/>
      <c r="G2" s="46" t="s">
        <v>68</v>
      </c>
      <c r="H2" s="47"/>
      <c r="I2" s="48"/>
      <c r="J2" s="48"/>
    </row>
    <row r="3" spans="1:10" ht="36" customHeight="1" x14ac:dyDescent="0.2">
      <c r="A3" s="49" t="s">
        <v>1</v>
      </c>
      <c r="B3" s="49" t="s">
        <v>2</v>
      </c>
      <c r="C3" s="49" t="s">
        <v>3</v>
      </c>
      <c r="D3" s="49" t="s">
        <v>57</v>
      </c>
      <c r="E3" s="49" t="s">
        <v>58</v>
      </c>
      <c r="F3" s="49" t="s">
        <v>5</v>
      </c>
      <c r="G3" s="49" t="s">
        <v>6</v>
      </c>
      <c r="H3" s="49" t="s">
        <v>59</v>
      </c>
      <c r="I3" s="49" t="s">
        <v>60</v>
      </c>
      <c r="J3" s="49" t="s">
        <v>61</v>
      </c>
    </row>
    <row r="4" spans="1:10" ht="18" customHeight="1" x14ac:dyDescent="0.2">
      <c r="A4" s="13" t="s">
        <v>10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0</v>
      </c>
      <c r="E5" s="18">
        <v>0</v>
      </c>
      <c r="F5" s="23">
        <f>D5-E5</f>
        <v>0</v>
      </c>
      <c r="G5" s="23" t="str">
        <f>IF(F5&gt;0,"Available","Not Available")</f>
        <v>Not 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0</v>
      </c>
      <c r="E6" s="24">
        <v>0</v>
      </c>
      <c r="F6" s="29">
        <f>D6-E6</f>
        <v>0</v>
      </c>
      <c r="G6" s="29" t="str">
        <f>IF(F6&gt;0,"Available","Not Available")</f>
        <v>Not 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13" t="s">
        <v>15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0</v>
      </c>
      <c r="E9" s="18">
        <v>0</v>
      </c>
      <c r="F9" s="23">
        <f t="shared" ref="F9:F18" si="0">D9-E9</f>
        <v>0</v>
      </c>
      <c r="G9" s="23" t="str">
        <f t="shared" ref="G9:G18" si="1">IF(F9&gt;0,"Available","Not Available")</f>
        <v>Not 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0</v>
      </c>
      <c r="E10" s="24">
        <v>0</v>
      </c>
      <c r="F10" s="29">
        <f t="shared" si="0"/>
        <v>0</v>
      </c>
      <c r="G10" s="29" t="str">
        <f t="shared" si="1"/>
        <v>Not 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0</v>
      </c>
      <c r="E11" s="18">
        <v>0</v>
      </c>
      <c r="F11" s="23">
        <f t="shared" si="0"/>
        <v>0</v>
      </c>
      <c r="G11" s="23" t="str">
        <f t="shared" si="1"/>
        <v>Not 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0</v>
      </c>
      <c r="E12" s="24">
        <v>0</v>
      </c>
      <c r="F12" s="29">
        <f t="shared" si="0"/>
        <v>0</v>
      </c>
      <c r="G12" s="29" t="str">
        <f t="shared" si="1"/>
        <v>Not 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0</v>
      </c>
      <c r="E13" s="18">
        <v>0</v>
      </c>
      <c r="F13" s="23">
        <f t="shared" si="0"/>
        <v>0</v>
      </c>
      <c r="G13" s="23" t="str">
        <f t="shared" si="1"/>
        <v>Not 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0</v>
      </c>
      <c r="E14" s="24">
        <v>0</v>
      </c>
      <c r="F14" s="29">
        <f t="shared" si="0"/>
        <v>0</v>
      </c>
      <c r="G14" s="29" t="str">
        <f t="shared" si="1"/>
        <v>Not 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0</v>
      </c>
      <c r="E15" s="18">
        <v>0</v>
      </c>
      <c r="F15" s="23">
        <f t="shared" si="0"/>
        <v>0</v>
      </c>
      <c r="G15" s="23" t="str">
        <f t="shared" si="1"/>
        <v>Not 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0</v>
      </c>
      <c r="E16" s="24">
        <v>0</v>
      </c>
      <c r="F16" s="29">
        <f t="shared" si="0"/>
        <v>0</v>
      </c>
      <c r="G16" s="29" t="str">
        <f t="shared" si="1"/>
        <v>Not 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0</v>
      </c>
      <c r="E17" s="18">
        <v>0</v>
      </c>
      <c r="F17" s="23">
        <f t="shared" si="0"/>
        <v>0</v>
      </c>
      <c r="G17" s="23" t="str">
        <f t="shared" si="1"/>
        <v>Not 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0</v>
      </c>
      <c r="E18" s="24">
        <v>0</v>
      </c>
      <c r="F18" s="29">
        <f t="shared" si="0"/>
        <v>0</v>
      </c>
      <c r="G18" s="29" t="str">
        <f t="shared" si="1"/>
        <v>Not Available</v>
      </c>
      <c r="H18" s="35"/>
      <c r="I18" s="35"/>
      <c r="J18" s="35"/>
    </row>
    <row r="19" spans="1:10" ht="18" customHeight="1" x14ac:dyDescent="0.2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0</v>
      </c>
      <c r="E23" s="18">
        <v>0</v>
      </c>
      <c r="F23" s="23">
        <f t="shared" si="2"/>
        <v>0</v>
      </c>
      <c r="G23" s="23" t="str">
        <f t="shared" si="3"/>
        <v>Not 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0</v>
      </c>
      <c r="E26" s="24">
        <v>0</v>
      </c>
      <c r="F26" s="29">
        <f t="shared" si="2"/>
        <v>0</v>
      </c>
      <c r="G26" s="29" t="str">
        <f t="shared" si="3"/>
        <v>Not 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0</v>
      </c>
      <c r="E27" s="18">
        <v>0</v>
      </c>
      <c r="F27" s="23">
        <f t="shared" si="2"/>
        <v>0</v>
      </c>
      <c r="G27" s="23" t="str">
        <f t="shared" si="3"/>
        <v>Not 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0</v>
      </c>
      <c r="E28" s="24">
        <v>0</v>
      </c>
      <c r="F28" s="29">
        <f t="shared" si="2"/>
        <v>0</v>
      </c>
      <c r="G28" s="29" t="str">
        <f t="shared" si="3"/>
        <v>Not 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13" t="s">
        <v>41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0</v>
      </c>
      <c r="E33" s="18">
        <v>0</v>
      </c>
      <c r="F33" s="23">
        <f t="shared" ref="F33:F39" si="4">D33-E33</f>
        <v>0</v>
      </c>
      <c r="G33" s="23" t="str">
        <f t="shared" ref="G33:G39" si="5">IF(F33&gt;0,"Available","Not Available")</f>
        <v>Not 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0</v>
      </c>
      <c r="E35" s="18">
        <v>0</v>
      </c>
      <c r="F35" s="23">
        <f t="shared" si="4"/>
        <v>0</v>
      </c>
      <c r="G35" s="23" t="str">
        <f t="shared" si="5"/>
        <v>Not 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0</v>
      </c>
      <c r="E36" s="24">
        <v>0</v>
      </c>
      <c r="F36" s="29">
        <f t="shared" si="4"/>
        <v>0</v>
      </c>
      <c r="G36" s="29" t="str">
        <f t="shared" si="5"/>
        <v>Not 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0</v>
      </c>
      <c r="E37" s="18">
        <v>0</v>
      </c>
      <c r="F37" s="23">
        <f t="shared" si="4"/>
        <v>0</v>
      </c>
      <c r="G37" s="23" t="str">
        <f t="shared" si="5"/>
        <v>Not 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0</v>
      </c>
      <c r="E38" s="24">
        <v>0</v>
      </c>
      <c r="F38" s="29">
        <f t="shared" si="4"/>
        <v>0</v>
      </c>
      <c r="G38" s="29" t="str">
        <f t="shared" si="5"/>
        <v>Not 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0</v>
      </c>
      <c r="E39" s="18">
        <v>0</v>
      </c>
      <c r="F39" s="23">
        <f t="shared" si="4"/>
        <v>0</v>
      </c>
      <c r="G39" s="23" t="str">
        <f t="shared" si="5"/>
        <v>Not Available</v>
      </c>
      <c r="H39" s="34"/>
      <c r="I39" s="34"/>
      <c r="J39" s="34"/>
    </row>
    <row r="40" spans="1:10" ht="18" customHeight="1" x14ac:dyDescent="0.2">
      <c r="A40" s="13" t="s">
        <v>50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0</v>
      </c>
      <c r="E41" s="18">
        <v>0</v>
      </c>
      <c r="F41" s="23">
        <f>D41-E41</f>
        <v>0</v>
      </c>
      <c r="G41" s="23" t="str">
        <f>IF(F41&gt;0,"Available","Not Available")</f>
        <v>Not 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0</v>
      </c>
      <c r="E42" s="24">
        <v>0</v>
      </c>
      <c r="F42" s="29">
        <f>D42-E42</f>
        <v>0</v>
      </c>
      <c r="G42" s="29" t="str">
        <f>IF(F42&gt;0,"Available","Not Available")</f>
        <v>Not 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1" t="s">
        <v>55</v>
      </c>
      <c r="B44" s="1"/>
      <c r="C44" s="1"/>
      <c r="D44" s="50">
        <f>SUM(D4:D43)</f>
        <v>0</v>
      </c>
      <c r="E44" s="50">
        <f>SUM(E4:E43)</f>
        <v>0</v>
      </c>
      <c r="F44" s="50">
        <f>SUM(F4:F43)</f>
        <v>0</v>
      </c>
      <c r="G44" s="51"/>
      <c r="H44" s="51"/>
      <c r="I44" s="51"/>
      <c r="J44" s="51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11" priority="2">
      <formula>G4="Available"</formula>
    </cfRule>
    <cfRule type="expression" dxfId="10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2" t="s">
        <v>69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">
      <c r="A2" s="46" t="s">
        <v>65</v>
      </c>
      <c r="B2" s="47"/>
      <c r="C2" s="46" t="s">
        <v>66</v>
      </c>
      <c r="D2" s="47"/>
      <c r="E2" s="46" t="s">
        <v>67</v>
      </c>
      <c r="F2" s="47"/>
      <c r="G2" s="46" t="s">
        <v>68</v>
      </c>
      <c r="H2" s="47"/>
      <c r="I2" s="48"/>
      <c r="J2" s="48"/>
    </row>
    <row r="3" spans="1:10" ht="36" customHeight="1" x14ac:dyDescent="0.2">
      <c r="A3" s="49" t="s">
        <v>1</v>
      </c>
      <c r="B3" s="49" t="s">
        <v>2</v>
      </c>
      <c r="C3" s="49" t="s">
        <v>3</v>
      </c>
      <c r="D3" s="49" t="s">
        <v>57</v>
      </c>
      <c r="E3" s="49" t="s">
        <v>58</v>
      </c>
      <c r="F3" s="49" t="s">
        <v>5</v>
      </c>
      <c r="G3" s="49" t="s">
        <v>6</v>
      </c>
      <c r="H3" s="49" t="s">
        <v>59</v>
      </c>
      <c r="I3" s="49" t="s">
        <v>60</v>
      </c>
      <c r="J3" s="49" t="s">
        <v>61</v>
      </c>
    </row>
    <row r="4" spans="1:10" ht="18" customHeight="1" x14ac:dyDescent="0.2">
      <c r="A4" s="13" t="s">
        <v>10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0</v>
      </c>
      <c r="E5" s="18">
        <v>0</v>
      </c>
      <c r="F5" s="23">
        <f>D5-E5</f>
        <v>0</v>
      </c>
      <c r="G5" s="23" t="str">
        <f>IF(F5&gt;0,"Available","Not Available")</f>
        <v>Not 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0</v>
      </c>
      <c r="E6" s="24">
        <v>0</v>
      </c>
      <c r="F6" s="29">
        <f>D6-E6</f>
        <v>0</v>
      </c>
      <c r="G6" s="29" t="str">
        <f>IF(F6&gt;0,"Available","Not Available")</f>
        <v>Not 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13" t="s">
        <v>15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0</v>
      </c>
      <c r="E9" s="18">
        <v>0</v>
      </c>
      <c r="F9" s="23">
        <f t="shared" ref="F9:F18" si="0">D9-E9</f>
        <v>0</v>
      </c>
      <c r="G9" s="23" t="str">
        <f t="shared" ref="G9:G18" si="1">IF(F9&gt;0,"Available","Not Available")</f>
        <v>Not 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0</v>
      </c>
      <c r="E10" s="24">
        <v>0</v>
      </c>
      <c r="F10" s="29">
        <f t="shared" si="0"/>
        <v>0</v>
      </c>
      <c r="G10" s="29" t="str">
        <f t="shared" si="1"/>
        <v>Not 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0</v>
      </c>
      <c r="E11" s="18">
        <v>0</v>
      </c>
      <c r="F11" s="23">
        <f t="shared" si="0"/>
        <v>0</v>
      </c>
      <c r="G11" s="23" t="str">
        <f t="shared" si="1"/>
        <v>Not 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0</v>
      </c>
      <c r="E12" s="24">
        <v>0</v>
      </c>
      <c r="F12" s="29">
        <f t="shared" si="0"/>
        <v>0</v>
      </c>
      <c r="G12" s="29" t="str">
        <f t="shared" si="1"/>
        <v>Not 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0</v>
      </c>
      <c r="E13" s="18">
        <v>0</v>
      </c>
      <c r="F13" s="23">
        <f t="shared" si="0"/>
        <v>0</v>
      </c>
      <c r="G13" s="23" t="str">
        <f t="shared" si="1"/>
        <v>Not 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0</v>
      </c>
      <c r="E14" s="24">
        <v>0</v>
      </c>
      <c r="F14" s="29">
        <f t="shared" si="0"/>
        <v>0</v>
      </c>
      <c r="G14" s="29" t="str">
        <f t="shared" si="1"/>
        <v>Not 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0</v>
      </c>
      <c r="E15" s="18">
        <v>0</v>
      </c>
      <c r="F15" s="23">
        <f t="shared" si="0"/>
        <v>0</v>
      </c>
      <c r="G15" s="23" t="str">
        <f t="shared" si="1"/>
        <v>Not 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0</v>
      </c>
      <c r="E16" s="24">
        <v>0</v>
      </c>
      <c r="F16" s="29">
        <f t="shared" si="0"/>
        <v>0</v>
      </c>
      <c r="G16" s="29" t="str">
        <f t="shared" si="1"/>
        <v>Not 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0</v>
      </c>
      <c r="E17" s="18">
        <v>0</v>
      </c>
      <c r="F17" s="23">
        <f t="shared" si="0"/>
        <v>0</v>
      </c>
      <c r="G17" s="23" t="str">
        <f t="shared" si="1"/>
        <v>Not 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0</v>
      </c>
      <c r="E18" s="24">
        <v>0</v>
      </c>
      <c r="F18" s="29">
        <f t="shared" si="0"/>
        <v>0</v>
      </c>
      <c r="G18" s="29" t="str">
        <f t="shared" si="1"/>
        <v>Not Available</v>
      </c>
      <c r="H18" s="35"/>
      <c r="I18" s="35"/>
      <c r="J18" s="35"/>
    </row>
    <row r="19" spans="1:10" ht="18" customHeight="1" x14ac:dyDescent="0.2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0</v>
      </c>
      <c r="E23" s="18">
        <v>0</v>
      </c>
      <c r="F23" s="23">
        <f t="shared" si="2"/>
        <v>0</v>
      </c>
      <c r="G23" s="23" t="str">
        <f t="shared" si="3"/>
        <v>Not 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0</v>
      </c>
      <c r="E26" s="24">
        <v>0</v>
      </c>
      <c r="F26" s="29">
        <f t="shared" si="2"/>
        <v>0</v>
      </c>
      <c r="G26" s="29" t="str">
        <f t="shared" si="3"/>
        <v>Not 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0</v>
      </c>
      <c r="E27" s="18">
        <v>0</v>
      </c>
      <c r="F27" s="23">
        <f t="shared" si="2"/>
        <v>0</v>
      </c>
      <c r="G27" s="23" t="str">
        <f t="shared" si="3"/>
        <v>Not 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0</v>
      </c>
      <c r="E28" s="24">
        <v>0</v>
      </c>
      <c r="F28" s="29">
        <f t="shared" si="2"/>
        <v>0</v>
      </c>
      <c r="G28" s="29" t="str">
        <f t="shared" si="3"/>
        <v>Not 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13" t="s">
        <v>41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0</v>
      </c>
      <c r="E33" s="18">
        <v>0</v>
      </c>
      <c r="F33" s="23">
        <f t="shared" ref="F33:F39" si="4">D33-E33</f>
        <v>0</v>
      </c>
      <c r="G33" s="23" t="str">
        <f t="shared" ref="G33:G39" si="5">IF(F33&gt;0,"Available","Not Available")</f>
        <v>Not 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0</v>
      </c>
      <c r="E35" s="18">
        <v>0</v>
      </c>
      <c r="F35" s="23">
        <f t="shared" si="4"/>
        <v>0</v>
      </c>
      <c r="G35" s="23" t="str">
        <f t="shared" si="5"/>
        <v>Not 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0</v>
      </c>
      <c r="E36" s="24">
        <v>0</v>
      </c>
      <c r="F36" s="29">
        <f t="shared" si="4"/>
        <v>0</v>
      </c>
      <c r="G36" s="29" t="str">
        <f t="shared" si="5"/>
        <v>Not 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0</v>
      </c>
      <c r="E37" s="18">
        <v>0</v>
      </c>
      <c r="F37" s="23">
        <f t="shared" si="4"/>
        <v>0</v>
      </c>
      <c r="G37" s="23" t="str">
        <f t="shared" si="5"/>
        <v>Not 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0</v>
      </c>
      <c r="E38" s="24">
        <v>0</v>
      </c>
      <c r="F38" s="29">
        <f t="shared" si="4"/>
        <v>0</v>
      </c>
      <c r="G38" s="29" t="str">
        <f t="shared" si="5"/>
        <v>Not 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0</v>
      </c>
      <c r="E39" s="18">
        <v>0</v>
      </c>
      <c r="F39" s="23">
        <f t="shared" si="4"/>
        <v>0</v>
      </c>
      <c r="G39" s="23" t="str">
        <f t="shared" si="5"/>
        <v>Not Available</v>
      </c>
      <c r="H39" s="34"/>
      <c r="I39" s="34"/>
      <c r="J39" s="34"/>
    </row>
    <row r="40" spans="1:10" ht="18" customHeight="1" x14ac:dyDescent="0.2">
      <c r="A40" s="13" t="s">
        <v>50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0</v>
      </c>
      <c r="E41" s="18">
        <v>0</v>
      </c>
      <c r="F41" s="23">
        <f>D41-E41</f>
        <v>0</v>
      </c>
      <c r="G41" s="23" t="str">
        <f>IF(F41&gt;0,"Available","Not Available")</f>
        <v>Not 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0</v>
      </c>
      <c r="E42" s="24">
        <v>0</v>
      </c>
      <c r="F42" s="29">
        <f>D42-E42</f>
        <v>0</v>
      </c>
      <c r="G42" s="29" t="str">
        <f>IF(F42&gt;0,"Available","Not Available")</f>
        <v>Not 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1" t="s">
        <v>55</v>
      </c>
      <c r="B44" s="1"/>
      <c r="C44" s="1"/>
      <c r="D44" s="50">
        <f>SUM(D4:D43)</f>
        <v>0</v>
      </c>
      <c r="E44" s="50">
        <f>SUM(E4:E43)</f>
        <v>0</v>
      </c>
      <c r="F44" s="50">
        <f>SUM(F4:F43)</f>
        <v>0</v>
      </c>
      <c r="G44" s="51"/>
      <c r="H44" s="51"/>
      <c r="I44" s="51"/>
      <c r="J44" s="51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9" priority="2">
      <formula>G4="Available"</formula>
    </cfRule>
    <cfRule type="expression" dxfId="8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2" t="s">
        <v>70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">
      <c r="A2" s="46" t="s">
        <v>65</v>
      </c>
      <c r="B2" s="47"/>
      <c r="C2" s="46" t="s">
        <v>66</v>
      </c>
      <c r="D2" s="47"/>
      <c r="E2" s="46" t="s">
        <v>67</v>
      </c>
      <c r="F2" s="47"/>
      <c r="G2" s="46" t="s">
        <v>68</v>
      </c>
      <c r="H2" s="47"/>
      <c r="I2" s="48"/>
      <c r="J2" s="48"/>
    </row>
    <row r="3" spans="1:10" ht="36" customHeight="1" x14ac:dyDescent="0.2">
      <c r="A3" s="49" t="s">
        <v>1</v>
      </c>
      <c r="B3" s="49" t="s">
        <v>2</v>
      </c>
      <c r="C3" s="49" t="s">
        <v>3</v>
      </c>
      <c r="D3" s="49" t="s">
        <v>57</v>
      </c>
      <c r="E3" s="49" t="s">
        <v>58</v>
      </c>
      <c r="F3" s="49" t="s">
        <v>5</v>
      </c>
      <c r="G3" s="49" t="s">
        <v>6</v>
      </c>
      <c r="H3" s="49" t="s">
        <v>59</v>
      </c>
      <c r="I3" s="49" t="s">
        <v>60</v>
      </c>
      <c r="J3" s="49" t="s">
        <v>61</v>
      </c>
    </row>
    <row r="4" spans="1:10" ht="18" customHeight="1" x14ac:dyDescent="0.2">
      <c r="A4" s="13" t="s">
        <v>10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0</v>
      </c>
      <c r="E5" s="18">
        <v>0</v>
      </c>
      <c r="F5" s="23">
        <f>D5-E5</f>
        <v>0</v>
      </c>
      <c r="G5" s="23" t="str">
        <f>IF(F5&gt;0,"Available","Not Available")</f>
        <v>Not 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0</v>
      </c>
      <c r="E6" s="24">
        <v>0</v>
      </c>
      <c r="F6" s="29">
        <f>D6-E6</f>
        <v>0</v>
      </c>
      <c r="G6" s="29" t="str">
        <f>IF(F6&gt;0,"Available","Not Available")</f>
        <v>Not 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13" t="s">
        <v>15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0</v>
      </c>
      <c r="E9" s="18">
        <v>0</v>
      </c>
      <c r="F9" s="23">
        <f t="shared" ref="F9:F18" si="0">D9-E9</f>
        <v>0</v>
      </c>
      <c r="G9" s="23" t="str">
        <f t="shared" ref="G9:G18" si="1">IF(F9&gt;0,"Available","Not Available")</f>
        <v>Not 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0</v>
      </c>
      <c r="E10" s="24">
        <v>0</v>
      </c>
      <c r="F10" s="29">
        <f t="shared" si="0"/>
        <v>0</v>
      </c>
      <c r="G10" s="29" t="str">
        <f t="shared" si="1"/>
        <v>Not 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0</v>
      </c>
      <c r="E11" s="18">
        <v>0</v>
      </c>
      <c r="F11" s="23">
        <f t="shared" si="0"/>
        <v>0</v>
      </c>
      <c r="G11" s="23" t="str">
        <f t="shared" si="1"/>
        <v>Not 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0</v>
      </c>
      <c r="E12" s="24">
        <v>0</v>
      </c>
      <c r="F12" s="29">
        <f t="shared" si="0"/>
        <v>0</v>
      </c>
      <c r="G12" s="29" t="str">
        <f t="shared" si="1"/>
        <v>Not 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0</v>
      </c>
      <c r="E13" s="18">
        <v>0</v>
      </c>
      <c r="F13" s="23">
        <f t="shared" si="0"/>
        <v>0</v>
      </c>
      <c r="G13" s="23" t="str">
        <f t="shared" si="1"/>
        <v>Not 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0</v>
      </c>
      <c r="E14" s="24">
        <v>0</v>
      </c>
      <c r="F14" s="29">
        <f t="shared" si="0"/>
        <v>0</v>
      </c>
      <c r="G14" s="29" t="str">
        <f t="shared" si="1"/>
        <v>Not 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0</v>
      </c>
      <c r="E15" s="18">
        <v>0</v>
      </c>
      <c r="F15" s="23">
        <f t="shared" si="0"/>
        <v>0</v>
      </c>
      <c r="G15" s="23" t="str">
        <f t="shared" si="1"/>
        <v>Not 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0</v>
      </c>
      <c r="E16" s="24">
        <v>0</v>
      </c>
      <c r="F16" s="29">
        <f t="shared" si="0"/>
        <v>0</v>
      </c>
      <c r="G16" s="29" t="str">
        <f t="shared" si="1"/>
        <v>Not 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0</v>
      </c>
      <c r="E17" s="18">
        <v>0</v>
      </c>
      <c r="F17" s="23">
        <f t="shared" si="0"/>
        <v>0</v>
      </c>
      <c r="G17" s="23" t="str">
        <f t="shared" si="1"/>
        <v>Not 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0</v>
      </c>
      <c r="E18" s="24">
        <v>0</v>
      </c>
      <c r="F18" s="29">
        <f t="shared" si="0"/>
        <v>0</v>
      </c>
      <c r="G18" s="29" t="str">
        <f t="shared" si="1"/>
        <v>Not Available</v>
      </c>
      <c r="H18" s="35"/>
      <c r="I18" s="35"/>
      <c r="J18" s="35"/>
    </row>
    <row r="19" spans="1:10" ht="18" customHeight="1" x14ac:dyDescent="0.2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0</v>
      </c>
      <c r="E23" s="18">
        <v>0</v>
      </c>
      <c r="F23" s="23">
        <f t="shared" si="2"/>
        <v>0</v>
      </c>
      <c r="G23" s="23" t="str">
        <f t="shared" si="3"/>
        <v>Not 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0</v>
      </c>
      <c r="E26" s="24">
        <v>0</v>
      </c>
      <c r="F26" s="29">
        <f t="shared" si="2"/>
        <v>0</v>
      </c>
      <c r="G26" s="29" t="str">
        <f t="shared" si="3"/>
        <v>Not 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0</v>
      </c>
      <c r="E27" s="18">
        <v>0</v>
      </c>
      <c r="F27" s="23">
        <f t="shared" si="2"/>
        <v>0</v>
      </c>
      <c r="G27" s="23" t="str">
        <f t="shared" si="3"/>
        <v>Not 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0</v>
      </c>
      <c r="E28" s="24">
        <v>0</v>
      </c>
      <c r="F28" s="29">
        <f t="shared" si="2"/>
        <v>0</v>
      </c>
      <c r="G28" s="29" t="str">
        <f t="shared" si="3"/>
        <v>Not 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13" t="s">
        <v>41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0</v>
      </c>
      <c r="E33" s="18">
        <v>0</v>
      </c>
      <c r="F33" s="23">
        <f t="shared" ref="F33:F39" si="4">D33-E33</f>
        <v>0</v>
      </c>
      <c r="G33" s="23" t="str">
        <f t="shared" ref="G33:G39" si="5">IF(F33&gt;0,"Available","Not Available")</f>
        <v>Not 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0</v>
      </c>
      <c r="E35" s="18">
        <v>0</v>
      </c>
      <c r="F35" s="23">
        <f t="shared" si="4"/>
        <v>0</v>
      </c>
      <c r="G35" s="23" t="str">
        <f t="shared" si="5"/>
        <v>Not 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0</v>
      </c>
      <c r="E36" s="24">
        <v>0</v>
      </c>
      <c r="F36" s="29">
        <f t="shared" si="4"/>
        <v>0</v>
      </c>
      <c r="G36" s="29" t="str">
        <f t="shared" si="5"/>
        <v>Not 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0</v>
      </c>
      <c r="E37" s="18">
        <v>0</v>
      </c>
      <c r="F37" s="23">
        <f t="shared" si="4"/>
        <v>0</v>
      </c>
      <c r="G37" s="23" t="str">
        <f t="shared" si="5"/>
        <v>Not 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0</v>
      </c>
      <c r="E38" s="24">
        <v>0</v>
      </c>
      <c r="F38" s="29">
        <f t="shared" si="4"/>
        <v>0</v>
      </c>
      <c r="G38" s="29" t="str">
        <f t="shared" si="5"/>
        <v>Not 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0</v>
      </c>
      <c r="E39" s="18">
        <v>0</v>
      </c>
      <c r="F39" s="23">
        <f t="shared" si="4"/>
        <v>0</v>
      </c>
      <c r="G39" s="23" t="str">
        <f t="shared" si="5"/>
        <v>Not Available</v>
      </c>
      <c r="H39" s="34"/>
      <c r="I39" s="34"/>
      <c r="J39" s="34"/>
    </row>
    <row r="40" spans="1:10" ht="18" customHeight="1" x14ac:dyDescent="0.2">
      <c r="A40" s="13" t="s">
        <v>50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0</v>
      </c>
      <c r="E41" s="18">
        <v>0</v>
      </c>
      <c r="F41" s="23">
        <f>D41-E41</f>
        <v>0</v>
      </c>
      <c r="G41" s="23" t="str">
        <f>IF(F41&gt;0,"Available","Not Available")</f>
        <v>Not 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0</v>
      </c>
      <c r="E42" s="24">
        <v>0</v>
      </c>
      <c r="F42" s="29">
        <f>D42-E42</f>
        <v>0</v>
      </c>
      <c r="G42" s="29" t="str">
        <f>IF(F42&gt;0,"Available","Not Available")</f>
        <v>Not 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1" t="s">
        <v>55</v>
      </c>
      <c r="B44" s="1"/>
      <c r="C44" s="1"/>
      <c r="D44" s="50">
        <f>SUM(D4:D43)</f>
        <v>0</v>
      </c>
      <c r="E44" s="50">
        <f>SUM(E4:E43)</f>
        <v>0</v>
      </c>
      <c r="F44" s="50">
        <f>SUM(F4:F43)</f>
        <v>0</v>
      </c>
      <c r="G44" s="51"/>
      <c r="H44" s="51"/>
      <c r="I44" s="51"/>
      <c r="J44" s="51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7" priority="2">
      <formula>G4="Available"</formula>
    </cfRule>
    <cfRule type="expression" dxfId="6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2" t="s">
        <v>71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">
      <c r="A2" s="46" t="s">
        <v>65</v>
      </c>
      <c r="B2" s="47"/>
      <c r="C2" s="46" t="s">
        <v>66</v>
      </c>
      <c r="D2" s="47"/>
      <c r="E2" s="46" t="s">
        <v>67</v>
      </c>
      <c r="F2" s="47"/>
      <c r="G2" s="46" t="s">
        <v>68</v>
      </c>
      <c r="H2" s="47"/>
      <c r="I2" s="48"/>
      <c r="J2" s="48"/>
    </row>
    <row r="3" spans="1:10" ht="36" customHeight="1" x14ac:dyDescent="0.2">
      <c r="A3" s="49" t="s">
        <v>1</v>
      </c>
      <c r="B3" s="49" t="s">
        <v>2</v>
      </c>
      <c r="C3" s="49" t="s">
        <v>3</v>
      </c>
      <c r="D3" s="49" t="s">
        <v>57</v>
      </c>
      <c r="E3" s="49" t="s">
        <v>58</v>
      </c>
      <c r="F3" s="49" t="s">
        <v>5</v>
      </c>
      <c r="G3" s="49" t="s">
        <v>6</v>
      </c>
      <c r="H3" s="49" t="s">
        <v>59</v>
      </c>
      <c r="I3" s="49" t="s">
        <v>60</v>
      </c>
      <c r="J3" s="49" t="s">
        <v>61</v>
      </c>
    </row>
    <row r="4" spans="1:10" ht="18" customHeight="1" x14ac:dyDescent="0.2">
      <c r="A4" s="13" t="s">
        <v>10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0</v>
      </c>
      <c r="E5" s="18">
        <v>0</v>
      </c>
      <c r="F5" s="23">
        <f>D5-E5</f>
        <v>0</v>
      </c>
      <c r="G5" s="23" t="str">
        <f>IF(F5&gt;0,"Available","Not Available")</f>
        <v>Not 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0</v>
      </c>
      <c r="E6" s="24">
        <v>0</v>
      </c>
      <c r="F6" s="29">
        <f>D6-E6</f>
        <v>0</v>
      </c>
      <c r="G6" s="29" t="str">
        <f>IF(F6&gt;0,"Available","Not Available")</f>
        <v>Not 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13" t="s">
        <v>15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0</v>
      </c>
      <c r="E9" s="18">
        <v>0</v>
      </c>
      <c r="F9" s="23">
        <f t="shared" ref="F9:F18" si="0">D9-E9</f>
        <v>0</v>
      </c>
      <c r="G9" s="23" t="str">
        <f t="shared" ref="G9:G18" si="1">IF(F9&gt;0,"Available","Not Available")</f>
        <v>Not 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0</v>
      </c>
      <c r="E10" s="24">
        <v>0</v>
      </c>
      <c r="F10" s="29">
        <f t="shared" si="0"/>
        <v>0</v>
      </c>
      <c r="G10" s="29" t="str">
        <f t="shared" si="1"/>
        <v>Not 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0</v>
      </c>
      <c r="E11" s="18">
        <v>0</v>
      </c>
      <c r="F11" s="23">
        <f t="shared" si="0"/>
        <v>0</v>
      </c>
      <c r="G11" s="23" t="str">
        <f t="shared" si="1"/>
        <v>Not 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0</v>
      </c>
      <c r="E12" s="24">
        <v>0</v>
      </c>
      <c r="F12" s="29">
        <f t="shared" si="0"/>
        <v>0</v>
      </c>
      <c r="G12" s="29" t="str">
        <f t="shared" si="1"/>
        <v>Not 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0</v>
      </c>
      <c r="E13" s="18">
        <v>0</v>
      </c>
      <c r="F13" s="23">
        <f t="shared" si="0"/>
        <v>0</v>
      </c>
      <c r="G13" s="23" t="str">
        <f t="shared" si="1"/>
        <v>Not 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0</v>
      </c>
      <c r="E14" s="24">
        <v>0</v>
      </c>
      <c r="F14" s="29">
        <f t="shared" si="0"/>
        <v>0</v>
      </c>
      <c r="G14" s="29" t="str">
        <f t="shared" si="1"/>
        <v>Not 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0</v>
      </c>
      <c r="E15" s="18">
        <v>0</v>
      </c>
      <c r="F15" s="23">
        <f t="shared" si="0"/>
        <v>0</v>
      </c>
      <c r="G15" s="23" t="str">
        <f t="shared" si="1"/>
        <v>Not 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0</v>
      </c>
      <c r="E16" s="24">
        <v>0</v>
      </c>
      <c r="F16" s="29">
        <f t="shared" si="0"/>
        <v>0</v>
      </c>
      <c r="G16" s="29" t="str">
        <f t="shared" si="1"/>
        <v>Not 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0</v>
      </c>
      <c r="E17" s="18">
        <v>0</v>
      </c>
      <c r="F17" s="23">
        <f t="shared" si="0"/>
        <v>0</v>
      </c>
      <c r="G17" s="23" t="str">
        <f t="shared" si="1"/>
        <v>Not 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0</v>
      </c>
      <c r="E18" s="24">
        <v>0</v>
      </c>
      <c r="F18" s="29">
        <f t="shared" si="0"/>
        <v>0</v>
      </c>
      <c r="G18" s="29" t="str">
        <f t="shared" si="1"/>
        <v>Not Available</v>
      </c>
      <c r="H18" s="35"/>
      <c r="I18" s="35"/>
      <c r="J18" s="35"/>
    </row>
    <row r="19" spans="1:10" ht="18" customHeight="1" x14ac:dyDescent="0.2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0</v>
      </c>
      <c r="E23" s="18">
        <v>0</v>
      </c>
      <c r="F23" s="23">
        <f t="shared" si="2"/>
        <v>0</v>
      </c>
      <c r="G23" s="23" t="str">
        <f t="shared" si="3"/>
        <v>Not 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0</v>
      </c>
      <c r="E26" s="24">
        <v>0</v>
      </c>
      <c r="F26" s="29">
        <f t="shared" si="2"/>
        <v>0</v>
      </c>
      <c r="G26" s="29" t="str">
        <f t="shared" si="3"/>
        <v>Not 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0</v>
      </c>
      <c r="E27" s="18">
        <v>0</v>
      </c>
      <c r="F27" s="23">
        <f t="shared" si="2"/>
        <v>0</v>
      </c>
      <c r="G27" s="23" t="str">
        <f t="shared" si="3"/>
        <v>Not 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0</v>
      </c>
      <c r="E28" s="24">
        <v>0</v>
      </c>
      <c r="F28" s="29">
        <f t="shared" si="2"/>
        <v>0</v>
      </c>
      <c r="G28" s="29" t="str">
        <f t="shared" si="3"/>
        <v>Not 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13" t="s">
        <v>41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0</v>
      </c>
      <c r="E33" s="18">
        <v>0</v>
      </c>
      <c r="F33" s="23">
        <f t="shared" ref="F33:F39" si="4">D33-E33</f>
        <v>0</v>
      </c>
      <c r="G33" s="23" t="str">
        <f t="shared" ref="G33:G39" si="5">IF(F33&gt;0,"Available","Not Available")</f>
        <v>Not 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0</v>
      </c>
      <c r="E35" s="18">
        <v>0</v>
      </c>
      <c r="F35" s="23">
        <f t="shared" si="4"/>
        <v>0</v>
      </c>
      <c r="G35" s="23" t="str">
        <f t="shared" si="5"/>
        <v>Not 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0</v>
      </c>
      <c r="E36" s="24">
        <v>0</v>
      </c>
      <c r="F36" s="29">
        <f t="shared" si="4"/>
        <v>0</v>
      </c>
      <c r="G36" s="29" t="str">
        <f t="shared" si="5"/>
        <v>Not 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0</v>
      </c>
      <c r="E37" s="18">
        <v>0</v>
      </c>
      <c r="F37" s="23">
        <f t="shared" si="4"/>
        <v>0</v>
      </c>
      <c r="G37" s="23" t="str">
        <f t="shared" si="5"/>
        <v>Not 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0</v>
      </c>
      <c r="E38" s="24">
        <v>0</v>
      </c>
      <c r="F38" s="29">
        <f t="shared" si="4"/>
        <v>0</v>
      </c>
      <c r="G38" s="29" t="str">
        <f t="shared" si="5"/>
        <v>Not 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0</v>
      </c>
      <c r="E39" s="18">
        <v>0</v>
      </c>
      <c r="F39" s="23">
        <f t="shared" si="4"/>
        <v>0</v>
      </c>
      <c r="G39" s="23" t="str">
        <f t="shared" si="5"/>
        <v>Not Available</v>
      </c>
      <c r="H39" s="34"/>
      <c r="I39" s="34"/>
      <c r="J39" s="34"/>
    </row>
    <row r="40" spans="1:10" ht="18" customHeight="1" x14ac:dyDescent="0.2">
      <c r="A40" s="13" t="s">
        <v>50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0</v>
      </c>
      <c r="E41" s="18">
        <v>0</v>
      </c>
      <c r="F41" s="23">
        <f>D41-E41</f>
        <v>0</v>
      </c>
      <c r="G41" s="23" t="str">
        <f>IF(F41&gt;0,"Available","Not Available")</f>
        <v>Not 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0</v>
      </c>
      <c r="E42" s="24">
        <v>0</v>
      </c>
      <c r="F42" s="29">
        <f>D42-E42</f>
        <v>0</v>
      </c>
      <c r="G42" s="29" t="str">
        <f>IF(F42&gt;0,"Available","Not Available")</f>
        <v>Not 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1" t="s">
        <v>55</v>
      </c>
      <c r="B44" s="1"/>
      <c r="C44" s="1"/>
      <c r="D44" s="50">
        <f>SUM(D4:D43)</f>
        <v>0</v>
      </c>
      <c r="E44" s="50">
        <f>SUM(E4:E43)</f>
        <v>0</v>
      </c>
      <c r="F44" s="50">
        <f>SUM(F4:F43)</f>
        <v>0</v>
      </c>
      <c r="G44" s="51"/>
      <c r="H44" s="51"/>
      <c r="I44" s="51"/>
      <c r="J44" s="51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5" priority="2">
      <formula>G4="Available"</formula>
    </cfRule>
    <cfRule type="expression" dxfId="4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4"/>
  <sheetViews>
    <sheetView zoomScaleNormal="100" workbookViewId="0">
      <pane ySplit="3" topLeftCell="A4" activePane="bottomLeft" state="frozen"/>
      <selection pane="bottomLeft" sqref="A1:J1"/>
    </sheetView>
  </sheetViews>
  <sheetFormatPr baseColWidth="10" defaultColWidth="8.6640625" defaultRowHeight="15" x14ac:dyDescent="0.2"/>
  <cols>
    <col min="1" max="1" width="5" customWidth="1"/>
    <col min="2" max="2" width="18" customWidth="1"/>
    <col min="3" max="3" width="30" customWidth="1"/>
    <col min="4" max="5" width="12" customWidth="1"/>
    <col min="6" max="6" width="13" customWidth="1"/>
    <col min="7" max="7" width="14" customWidth="1"/>
    <col min="8" max="9" width="22" customWidth="1"/>
    <col min="10" max="10" width="14" customWidth="1"/>
  </cols>
  <sheetData>
    <row r="1" spans="1:10" ht="30" customHeight="1" x14ac:dyDescent="0.2">
      <c r="A1" s="2" t="s">
        <v>72</v>
      </c>
      <c r="B1" s="2"/>
      <c r="C1" s="2"/>
      <c r="D1" s="2"/>
      <c r="E1" s="2"/>
      <c r="F1" s="2"/>
      <c r="G1" s="2"/>
      <c r="H1" s="2"/>
      <c r="I1" s="2"/>
      <c r="J1" s="2"/>
    </row>
    <row r="2" spans="1:10" ht="19.5" customHeight="1" x14ac:dyDescent="0.2">
      <c r="A2" s="46" t="s">
        <v>65</v>
      </c>
      <c r="B2" s="47"/>
      <c r="C2" s="46" t="s">
        <v>66</v>
      </c>
      <c r="D2" s="47"/>
      <c r="E2" s="46" t="s">
        <v>67</v>
      </c>
      <c r="F2" s="47"/>
      <c r="G2" s="46" t="s">
        <v>68</v>
      </c>
      <c r="H2" s="47"/>
      <c r="I2" s="48"/>
      <c r="J2" s="48"/>
    </row>
    <row r="3" spans="1:10" ht="36" customHeight="1" x14ac:dyDescent="0.2">
      <c r="A3" s="49" t="s">
        <v>1</v>
      </c>
      <c r="B3" s="49" t="s">
        <v>2</v>
      </c>
      <c r="C3" s="49" t="s">
        <v>3</v>
      </c>
      <c r="D3" s="49" t="s">
        <v>57</v>
      </c>
      <c r="E3" s="49" t="s">
        <v>58</v>
      </c>
      <c r="F3" s="49" t="s">
        <v>5</v>
      </c>
      <c r="G3" s="49" t="s">
        <v>6</v>
      </c>
      <c r="H3" s="49" t="s">
        <v>59</v>
      </c>
      <c r="I3" s="49" t="s">
        <v>60</v>
      </c>
      <c r="J3" s="49" t="s">
        <v>61</v>
      </c>
    </row>
    <row r="4" spans="1:10" ht="18" customHeight="1" x14ac:dyDescent="0.2">
      <c r="A4" s="13" t="s">
        <v>10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ht="18" customHeight="1" x14ac:dyDescent="0.2">
      <c r="A5" s="18">
        <v>1</v>
      </c>
      <c r="B5" s="19" t="s">
        <v>11</v>
      </c>
      <c r="C5" s="20" t="s">
        <v>12</v>
      </c>
      <c r="D5" s="18">
        <v>0</v>
      </c>
      <c r="E5" s="18">
        <v>0</v>
      </c>
      <c r="F5" s="23">
        <f>D5-E5</f>
        <v>0</v>
      </c>
      <c r="G5" s="23" t="str">
        <f>IF(F5&gt;0,"Available","Not Available")</f>
        <v>Not Available</v>
      </c>
      <c r="H5" s="34"/>
      <c r="I5" s="34"/>
      <c r="J5" s="34"/>
    </row>
    <row r="6" spans="1:10" ht="18" customHeight="1" x14ac:dyDescent="0.2">
      <c r="A6" s="24">
        <v>2</v>
      </c>
      <c r="B6" s="25" t="s">
        <v>11</v>
      </c>
      <c r="C6" s="26" t="s">
        <v>13</v>
      </c>
      <c r="D6" s="24">
        <v>0</v>
      </c>
      <c r="E6" s="24">
        <v>0</v>
      </c>
      <c r="F6" s="29">
        <f>D6-E6</f>
        <v>0</v>
      </c>
      <c r="G6" s="29" t="str">
        <f>IF(F6&gt;0,"Available","Not Available")</f>
        <v>Not Available</v>
      </c>
      <c r="H6" s="35"/>
      <c r="I6" s="35"/>
      <c r="J6" s="35"/>
    </row>
    <row r="7" spans="1:10" ht="18" customHeight="1" x14ac:dyDescent="0.2">
      <c r="A7" s="18">
        <v>3</v>
      </c>
      <c r="B7" s="19" t="s">
        <v>11</v>
      </c>
      <c r="C7" s="20" t="s">
        <v>14</v>
      </c>
      <c r="D7" s="18">
        <v>0</v>
      </c>
      <c r="E7" s="18">
        <v>0</v>
      </c>
      <c r="F7" s="23">
        <f>D7-E7</f>
        <v>0</v>
      </c>
      <c r="G7" s="23" t="str">
        <f>IF(F7&gt;0,"Available","Not Available")</f>
        <v>Not Available</v>
      </c>
      <c r="H7" s="34"/>
      <c r="I7" s="34"/>
      <c r="J7" s="34"/>
    </row>
    <row r="8" spans="1:10" ht="18" customHeight="1" x14ac:dyDescent="0.2">
      <c r="A8" s="13" t="s">
        <v>15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ht="18" customHeight="1" x14ac:dyDescent="0.2">
      <c r="A9" s="18">
        <v>4</v>
      </c>
      <c r="B9" s="19" t="s">
        <v>16</v>
      </c>
      <c r="C9" s="20" t="s">
        <v>17</v>
      </c>
      <c r="D9" s="18">
        <v>0</v>
      </c>
      <c r="E9" s="18">
        <v>0</v>
      </c>
      <c r="F9" s="23">
        <f t="shared" ref="F9:F18" si="0">D9-E9</f>
        <v>0</v>
      </c>
      <c r="G9" s="23" t="str">
        <f t="shared" ref="G9:G18" si="1">IF(F9&gt;0,"Available","Not Available")</f>
        <v>Not Available</v>
      </c>
      <c r="H9" s="34"/>
      <c r="I9" s="34"/>
      <c r="J9" s="34"/>
    </row>
    <row r="10" spans="1:10" ht="18" customHeight="1" x14ac:dyDescent="0.2">
      <c r="A10" s="24">
        <v>5</v>
      </c>
      <c r="B10" s="25" t="s">
        <v>16</v>
      </c>
      <c r="C10" s="26" t="s">
        <v>18</v>
      </c>
      <c r="D10" s="24">
        <v>0</v>
      </c>
      <c r="E10" s="24">
        <v>0</v>
      </c>
      <c r="F10" s="29">
        <f t="shared" si="0"/>
        <v>0</v>
      </c>
      <c r="G10" s="29" t="str">
        <f t="shared" si="1"/>
        <v>Not Available</v>
      </c>
      <c r="H10" s="35"/>
      <c r="I10" s="35"/>
      <c r="J10" s="35"/>
    </row>
    <row r="11" spans="1:10" ht="18" customHeight="1" x14ac:dyDescent="0.2">
      <c r="A11" s="18">
        <v>6</v>
      </c>
      <c r="B11" s="19" t="s">
        <v>16</v>
      </c>
      <c r="C11" s="20" t="s">
        <v>19</v>
      </c>
      <c r="D11" s="18">
        <v>0</v>
      </c>
      <c r="E11" s="18">
        <v>0</v>
      </c>
      <c r="F11" s="23">
        <f t="shared" si="0"/>
        <v>0</v>
      </c>
      <c r="G11" s="23" t="str">
        <f t="shared" si="1"/>
        <v>Not Available</v>
      </c>
      <c r="H11" s="34"/>
      <c r="I11" s="34"/>
      <c r="J11" s="34"/>
    </row>
    <row r="12" spans="1:10" ht="18" customHeight="1" x14ac:dyDescent="0.2">
      <c r="A12" s="24">
        <v>7</v>
      </c>
      <c r="B12" s="25" t="s">
        <v>16</v>
      </c>
      <c r="C12" s="26" t="s">
        <v>20</v>
      </c>
      <c r="D12" s="24">
        <v>0</v>
      </c>
      <c r="E12" s="24">
        <v>0</v>
      </c>
      <c r="F12" s="29">
        <f t="shared" si="0"/>
        <v>0</v>
      </c>
      <c r="G12" s="29" t="str">
        <f t="shared" si="1"/>
        <v>Not Available</v>
      </c>
      <c r="H12" s="35"/>
      <c r="I12" s="35"/>
      <c r="J12" s="35"/>
    </row>
    <row r="13" spans="1:10" ht="18" customHeight="1" x14ac:dyDescent="0.2">
      <c r="A13" s="18">
        <v>8</v>
      </c>
      <c r="B13" s="19" t="s">
        <v>16</v>
      </c>
      <c r="C13" s="20" t="s">
        <v>21</v>
      </c>
      <c r="D13" s="18">
        <v>0</v>
      </c>
      <c r="E13" s="18">
        <v>0</v>
      </c>
      <c r="F13" s="23">
        <f t="shared" si="0"/>
        <v>0</v>
      </c>
      <c r="G13" s="23" t="str">
        <f t="shared" si="1"/>
        <v>Not Available</v>
      </c>
      <c r="H13" s="34"/>
      <c r="I13" s="34"/>
      <c r="J13" s="34"/>
    </row>
    <row r="14" spans="1:10" ht="18" customHeight="1" x14ac:dyDescent="0.2">
      <c r="A14" s="24">
        <v>9</v>
      </c>
      <c r="B14" s="25" t="s">
        <v>16</v>
      </c>
      <c r="C14" s="26" t="s">
        <v>22</v>
      </c>
      <c r="D14" s="24">
        <v>0</v>
      </c>
      <c r="E14" s="24">
        <v>0</v>
      </c>
      <c r="F14" s="29">
        <f t="shared" si="0"/>
        <v>0</v>
      </c>
      <c r="G14" s="29" t="str">
        <f t="shared" si="1"/>
        <v>Not Available</v>
      </c>
      <c r="H14" s="35"/>
      <c r="I14" s="35"/>
      <c r="J14" s="35"/>
    </row>
    <row r="15" spans="1:10" ht="18" customHeight="1" x14ac:dyDescent="0.2">
      <c r="A15" s="18">
        <v>10</v>
      </c>
      <c r="B15" s="19" t="s">
        <v>16</v>
      </c>
      <c r="C15" s="20" t="s">
        <v>23</v>
      </c>
      <c r="D15" s="18">
        <v>0</v>
      </c>
      <c r="E15" s="18">
        <v>0</v>
      </c>
      <c r="F15" s="23">
        <f t="shared" si="0"/>
        <v>0</v>
      </c>
      <c r="G15" s="23" t="str">
        <f t="shared" si="1"/>
        <v>Not Available</v>
      </c>
      <c r="H15" s="34"/>
      <c r="I15" s="34"/>
      <c r="J15" s="34"/>
    </row>
    <row r="16" spans="1:10" ht="18" customHeight="1" x14ac:dyDescent="0.2">
      <c r="A16" s="24">
        <v>11</v>
      </c>
      <c r="B16" s="25" t="s">
        <v>16</v>
      </c>
      <c r="C16" s="26" t="s">
        <v>24</v>
      </c>
      <c r="D16" s="24">
        <v>0</v>
      </c>
      <c r="E16" s="24">
        <v>0</v>
      </c>
      <c r="F16" s="29">
        <f t="shared" si="0"/>
        <v>0</v>
      </c>
      <c r="G16" s="29" t="str">
        <f t="shared" si="1"/>
        <v>Not Available</v>
      </c>
      <c r="H16" s="35"/>
      <c r="I16" s="35"/>
      <c r="J16" s="35"/>
    </row>
    <row r="17" spans="1:10" ht="18" customHeight="1" x14ac:dyDescent="0.2">
      <c r="A17" s="18">
        <v>12</v>
      </c>
      <c r="B17" s="19" t="s">
        <v>16</v>
      </c>
      <c r="C17" s="20" t="s">
        <v>25</v>
      </c>
      <c r="D17" s="18">
        <v>0</v>
      </c>
      <c r="E17" s="18">
        <v>0</v>
      </c>
      <c r="F17" s="23">
        <f t="shared" si="0"/>
        <v>0</v>
      </c>
      <c r="G17" s="23" t="str">
        <f t="shared" si="1"/>
        <v>Not Available</v>
      </c>
      <c r="H17" s="34"/>
      <c r="I17" s="34"/>
      <c r="J17" s="34"/>
    </row>
    <row r="18" spans="1:10" ht="18" customHeight="1" x14ac:dyDescent="0.2">
      <c r="A18" s="24">
        <v>13</v>
      </c>
      <c r="B18" s="25" t="s">
        <v>16</v>
      </c>
      <c r="C18" s="26" t="s">
        <v>26</v>
      </c>
      <c r="D18" s="24">
        <v>0</v>
      </c>
      <c r="E18" s="24">
        <v>0</v>
      </c>
      <c r="F18" s="29">
        <f t="shared" si="0"/>
        <v>0</v>
      </c>
      <c r="G18" s="29" t="str">
        <f t="shared" si="1"/>
        <v>Not Available</v>
      </c>
      <c r="H18" s="35"/>
      <c r="I18" s="35"/>
      <c r="J18" s="35"/>
    </row>
    <row r="19" spans="1:10" ht="18" customHeight="1" x14ac:dyDescent="0.2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ht="18" customHeight="1" x14ac:dyDescent="0.2">
      <c r="A20" s="24">
        <v>14</v>
      </c>
      <c r="B20" s="25" t="s">
        <v>28</v>
      </c>
      <c r="C20" s="26" t="s">
        <v>29</v>
      </c>
      <c r="D20" s="24">
        <v>0</v>
      </c>
      <c r="E20" s="24">
        <v>0</v>
      </c>
      <c r="F20" s="29">
        <f t="shared" ref="F20:F31" si="2">D20-E20</f>
        <v>0</v>
      </c>
      <c r="G20" s="29" t="str">
        <f t="shared" ref="G20:G31" si="3">IF(F20&gt;0,"Available","Not Available")</f>
        <v>Not Available</v>
      </c>
      <c r="H20" s="35"/>
      <c r="I20" s="35"/>
      <c r="J20" s="35"/>
    </row>
    <row r="21" spans="1:10" ht="18" customHeight="1" x14ac:dyDescent="0.2">
      <c r="A21" s="18">
        <v>15</v>
      </c>
      <c r="B21" s="19" t="s">
        <v>28</v>
      </c>
      <c r="C21" s="20" t="s">
        <v>30</v>
      </c>
      <c r="D21" s="18">
        <v>0</v>
      </c>
      <c r="E21" s="18">
        <v>0</v>
      </c>
      <c r="F21" s="23">
        <f t="shared" si="2"/>
        <v>0</v>
      </c>
      <c r="G21" s="23" t="str">
        <f t="shared" si="3"/>
        <v>Not Available</v>
      </c>
      <c r="H21" s="34"/>
      <c r="I21" s="34"/>
      <c r="J21" s="34"/>
    </row>
    <row r="22" spans="1:10" ht="18" customHeight="1" x14ac:dyDescent="0.2">
      <c r="A22" s="24">
        <v>16</v>
      </c>
      <c r="B22" s="25" t="s">
        <v>28</v>
      </c>
      <c r="C22" s="26" t="s">
        <v>31</v>
      </c>
      <c r="D22" s="24">
        <v>0</v>
      </c>
      <c r="E22" s="24">
        <v>0</v>
      </c>
      <c r="F22" s="29">
        <f t="shared" si="2"/>
        <v>0</v>
      </c>
      <c r="G22" s="29" t="str">
        <f t="shared" si="3"/>
        <v>Not Available</v>
      </c>
      <c r="H22" s="35"/>
      <c r="I22" s="35"/>
      <c r="J22" s="35"/>
    </row>
    <row r="23" spans="1:10" ht="18" customHeight="1" x14ac:dyDescent="0.2">
      <c r="A23" s="18">
        <v>17</v>
      </c>
      <c r="B23" s="19" t="s">
        <v>28</v>
      </c>
      <c r="C23" s="20" t="s">
        <v>32</v>
      </c>
      <c r="D23" s="18">
        <v>0</v>
      </c>
      <c r="E23" s="18">
        <v>0</v>
      </c>
      <c r="F23" s="23">
        <f t="shared" si="2"/>
        <v>0</v>
      </c>
      <c r="G23" s="23" t="str">
        <f t="shared" si="3"/>
        <v>Not Available</v>
      </c>
      <c r="H23" s="34"/>
      <c r="I23" s="34"/>
      <c r="J23" s="34"/>
    </row>
    <row r="24" spans="1:10" ht="18" customHeight="1" x14ac:dyDescent="0.2">
      <c r="A24" s="24">
        <v>18</v>
      </c>
      <c r="B24" s="25" t="s">
        <v>28</v>
      </c>
      <c r="C24" s="26" t="s">
        <v>33</v>
      </c>
      <c r="D24" s="24">
        <v>0</v>
      </c>
      <c r="E24" s="24">
        <v>0</v>
      </c>
      <c r="F24" s="29">
        <f t="shared" si="2"/>
        <v>0</v>
      </c>
      <c r="G24" s="29" t="str">
        <f t="shared" si="3"/>
        <v>Not Available</v>
      </c>
      <c r="H24" s="35"/>
      <c r="I24" s="35"/>
      <c r="J24" s="35"/>
    </row>
    <row r="25" spans="1:10" ht="18" customHeight="1" x14ac:dyDescent="0.2">
      <c r="A25" s="18">
        <v>19</v>
      </c>
      <c r="B25" s="19" t="s">
        <v>28</v>
      </c>
      <c r="C25" s="20" t="s">
        <v>34</v>
      </c>
      <c r="D25" s="18">
        <v>0</v>
      </c>
      <c r="E25" s="18">
        <v>0</v>
      </c>
      <c r="F25" s="23">
        <f t="shared" si="2"/>
        <v>0</v>
      </c>
      <c r="G25" s="23" t="str">
        <f t="shared" si="3"/>
        <v>Not Available</v>
      </c>
      <c r="H25" s="34"/>
      <c r="I25" s="34"/>
      <c r="J25" s="34"/>
    </row>
    <row r="26" spans="1:10" ht="18" customHeight="1" x14ac:dyDescent="0.2">
      <c r="A26" s="24">
        <v>20</v>
      </c>
      <c r="B26" s="25" t="s">
        <v>28</v>
      </c>
      <c r="C26" s="26" t="s">
        <v>35</v>
      </c>
      <c r="D26" s="24">
        <v>0</v>
      </c>
      <c r="E26" s="24">
        <v>0</v>
      </c>
      <c r="F26" s="29">
        <f t="shared" si="2"/>
        <v>0</v>
      </c>
      <c r="G26" s="29" t="str">
        <f t="shared" si="3"/>
        <v>Not Available</v>
      </c>
      <c r="H26" s="35"/>
      <c r="I26" s="35"/>
      <c r="J26" s="35"/>
    </row>
    <row r="27" spans="1:10" ht="18" customHeight="1" x14ac:dyDescent="0.2">
      <c r="A27" s="18">
        <v>21</v>
      </c>
      <c r="B27" s="19" t="s">
        <v>28</v>
      </c>
      <c r="C27" s="20" t="s">
        <v>36</v>
      </c>
      <c r="D27" s="18">
        <v>0</v>
      </c>
      <c r="E27" s="18">
        <v>0</v>
      </c>
      <c r="F27" s="23">
        <f t="shared" si="2"/>
        <v>0</v>
      </c>
      <c r="G27" s="23" t="str">
        <f t="shared" si="3"/>
        <v>Not Available</v>
      </c>
      <c r="H27" s="34"/>
      <c r="I27" s="34"/>
      <c r="J27" s="34"/>
    </row>
    <row r="28" spans="1:10" ht="18" customHeight="1" x14ac:dyDescent="0.2">
      <c r="A28" s="24">
        <v>22</v>
      </c>
      <c r="B28" s="25" t="s">
        <v>28</v>
      </c>
      <c r="C28" s="26" t="s">
        <v>37</v>
      </c>
      <c r="D28" s="24">
        <v>0</v>
      </c>
      <c r="E28" s="24">
        <v>0</v>
      </c>
      <c r="F28" s="29">
        <f t="shared" si="2"/>
        <v>0</v>
      </c>
      <c r="G28" s="29" t="str">
        <f t="shared" si="3"/>
        <v>Not Available</v>
      </c>
      <c r="H28" s="35"/>
      <c r="I28" s="35"/>
      <c r="J28" s="35"/>
    </row>
    <row r="29" spans="1:10" ht="18" customHeight="1" x14ac:dyDescent="0.2">
      <c r="A29" s="18">
        <v>23</v>
      </c>
      <c r="B29" s="19" t="s">
        <v>28</v>
      </c>
      <c r="C29" s="20" t="s">
        <v>38</v>
      </c>
      <c r="D29" s="18">
        <v>0</v>
      </c>
      <c r="E29" s="18">
        <v>0</v>
      </c>
      <c r="F29" s="23">
        <f t="shared" si="2"/>
        <v>0</v>
      </c>
      <c r="G29" s="23" t="str">
        <f t="shared" si="3"/>
        <v>Not Available</v>
      </c>
      <c r="H29" s="34"/>
      <c r="I29" s="34"/>
      <c r="J29" s="34"/>
    </row>
    <row r="30" spans="1:10" ht="18" customHeight="1" x14ac:dyDescent="0.2">
      <c r="A30" s="24">
        <v>24</v>
      </c>
      <c r="B30" s="25" t="s">
        <v>28</v>
      </c>
      <c r="C30" s="26" t="s">
        <v>39</v>
      </c>
      <c r="D30" s="24">
        <v>0</v>
      </c>
      <c r="E30" s="24">
        <v>0</v>
      </c>
      <c r="F30" s="29">
        <f t="shared" si="2"/>
        <v>0</v>
      </c>
      <c r="G30" s="29" t="str">
        <f t="shared" si="3"/>
        <v>Not Available</v>
      </c>
      <c r="H30" s="35"/>
      <c r="I30" s="35"/>
      <c r="J30" s="35"/>
    </row>
    <row r="31" spans="1:10" ht="18" customHeight="1" x14ac:dyDescent="0.2">
      <c r="A31" s="18">
        <v>25</v>
      </c>
      <c r="B31" s="19" t="s">
        <v>28</v>
      </c>
      <c r="C31" s="20" t="s">
        <v>40</v>
      </c>
      <c r="D31" s="18">
        <v>0</v>
      </c>
      <c r="E31" s="18">
        <v>0</v>
      </c>
      <c r="F31" s="23">
        <f t="shared" si="2"/>
        <v>0</v>
      </c>
      <c r="G31" s="23" t="str">
        <f t="shared" si="3"/>
        <v>Not Available</v>
      </c>
      <c r="H31" s="34"/>
      <c r="I31" s="34"/>
      <c r="J31" s="34"/>
    </row>
    <row r="32" spans="1:10" ht="18" customHeight="1" x14ac:dyDescent="0.2">
      <c r="A32" s="13" t="s">
        <v>41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18" customHeight="1" x14ac:dyDescent="0.2">
      <c r="A33" s="18">
        <v>26</v>
      </c>
      <c r="B33" s="19" t="s">
        <v>42</v>
      </c>
      <c r="C33" s="20" t="s">
        <v>43</v>
      </c>
      <c r="D33" s="18">
        <v>0</v>
      </c>
      <c r="E33" s="18">
        <v>0</v>
      </c>
      <c r="F33" s="23">
        <f t="shared" ref="F33:F39" si="4">D33-E33</f>
        <v>0</v>
      </c>
      <c r="G33" s="23" t="str">
        <f t="shared" ref="G33:G39" si="5">IF(F33&gt;0,"Available","Not Available")</f>
        <v>Not Available</v>
      </c>
      <c r="H33" s="34"/>
      <c r="I33" s="34"/>
      <c r="J33" s="34"/>
    </row>
    <row r="34" spans="1:10" ht="18" customHeight="1" x14ac:dyDescent="0.2">
      <c r="A34" s="24">
        <v>27</v>
      </c>
      <c r="B34" s="25" t="s">
        <v>42</v>
      </c>
      <c r="C34" s="26" t="s">
        <v>44</v>
      </c>
      <c r="D34" s="24">
        <v>0</v>
      </c>
      <c r="E34" s="24">
        <v>0</v>
      </c>
      <c r="F34" s="29">
        <f t="shared" si="4"/>
        <v>0</v>
      </c>
      <c r="G34" s="29" t="str">
        <f t="shared" si="5"/>
        <v>Not Available</v>
      </c>
      <c r="H34" s="35"/>
      <c r="I34" s="35"/>
      <c r="J34" s="35"/>
    </row>
    <row r="35" spans="1:10" ht="18" customHeight="1" x14ac:dyDescent="0.2">
      <c r="A35" s="18">
        <v>28</v>
      </c>
      <c r="B35" s="19" t="s">
        <v>42</v>
      </c>
      <c r="C35" s="20" t="s">
        <v>45</v>
      </c>
      <c r="D35" s="18">
        <v>0</v>
      </c>
      <c r="E35" s="18">
        <v>0</v>
      </c>
      <c r="F35" s="23">
        <f t="shared" si="4"/>
        <v>0</v>
      </c>
      <c r="G35" s="23" t="str">
        <f t="shared" si="5"/>
        <v>Not Available</v>
      </c>
      <c r="H35" s="34"/>
      <c r="I35" s="34"/>
      <c r="J35" s="34"/>
    </row>
    <row r="36" spans="1:10" ht="18" customHeight="1" x14ac:dyDescent="0.2">
      <c r="A36" s="24">
        <v>29</v>
      </c>
      <c r="B36" s="25" t="s">
        <v>42</v>
      </c>
      <c r="C36" s="26" t="s">
        <v>46</v>
      </c>
      <c r="D36" s="24">
        <v>0</v>
      </c>
      <c r="E36" s="24">
        <v>0</v>
      </c>
      <c r="F36" s="29">
        <f t="shared" si="4"/>
        <v>0</v>
      </c>
      <c r="G36" s="29" t="str">
        <f t="shared" si="5"/>
        <v>Not Available</v>
      </c>
      <c r="H36" s="35"/>
      <c r="I36" s="35"/>
      <c r="J36" s="35"/>
    </row>
    <row r="37" spans="1:10" ht="18" customHeight="1" x14ac:dyDescent="0.2">
      <c r="A37" s="18">
        <v>30</v>
      </c>
      <c r="B37" s="19" t="s">
        <v>42</v>
      </c>
      <c r="C37" s="20" t="s">
        <v>47</v>
      </c>
      <c r="D37" s="18">
        <v>0</v>
      </c>
      <c r="E37" s="18">
        <v>0</v>
      </c>
      <c r="F37" s="23">
        <f t="shared" si="4"/>
        <v>0</v>
      </c>
      <c r="G37" s="23" t="str">
        <f t="shared" si="5"/>
        <v>Not Available</v>
      </c>
      <c r="H37" s="34"/>
      <c r="I37" s="34"/>
      <c r="J37" s="34"/>
    </row>
    <row r="38" spans="1:10" ht="18" customHeight="1" x14ac:dyDescent="0.2">
      <c r="A38" s="24">
        <v>31</v>
      </c>
      <c r="B38" s="25" t="s">
        <v>42</v>
      </c>
      <c r="C38" s="26" t="s">
        <v>48</v>
      </c>
      <c r="D38" s="24">
        <v>0</v>
      </c>
      <c r="E38" s="24">
        <v>0</v>
      </c>
      <c r="F38" s="29">
        <f t="shared" si="4"/>
        <v>0</v>
      </c>
      <c r="G38" s="29" t="str">
        <f t="shared" si="5"/>
        <v>Not Available</v>
      </c>
      <c r="H38" s="35"/>
      <c r="I38" s="35"/>
      <c r="J38" s="35"/>
    </row>
    <row r="39" spans="1:10" ht="18" customHeight="1" x14ac:dyDescent="0.2">
      <c r="A39" s="18">
        <v>32</v>
      </c>
      <c r="B39" s="19" t="s">
        <v>42</v>
      </c>
      <c r="C39" s="20" t="s">
        <v>49</v>
      </c>
      <c r="D39" s="18">
        <v>0</v>
      </c>
      <c r="E39" s="18">
        <v>0</v>
      </c>
      <c r="F39" s="23">
        <f t="shared" si="4"/>
        <v>0</v>
      </c>
      <c r="G39" s="23" t="str">
        <f t="shared" si="5"/>
        <v>Not Available</v>
      </c>
      <c r="H39" s="34"/>
      <c r="I39" s="34"/>
      <c r="J39" s="34"/>
    </row>
    <row r="40" spans="1:10" ht="18" customHeight="1" x14ac:dyDescent="0.2">
      <c r="A40" s="13" t="s">
        <v>50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18" customHeight="1" x14ac:dyDescent="0.2">
      <c r="A41" s="18">
        <v>33</v>
      </c>
      <c r="B41" s="19" t="s">
        <v>51</v>
      </c>
      <c r="C41" s="20" t="s">
        <v>52</v>
      </c>
      <c r="D41" s="18">
        <v>0</v>
      </c>
      <c r="E41" s="18">
        <v>0</v>
      </c>
      <c r="F41" s="23">
        <f>D41-E41</f>
        <v>0</v>
      </c>
      <c r="G41" s="23" t="str">
        <f>IF(F41&gt;0,"Available","Not Available")</f>
        <v>Not Available</v>
      </c>
      <c r="H41" s="34"/>
      <c r="I41" s="34"/>
      <c r="J41" s="34"/>
    </row>
    <row r="42" spans="1:10" ht="18" customHeight="1" x14ac:dyDescent="0.2">
      <c r="A42" s="24">
        <v>34</v>
      </c>
      <c r="B42" s="25" t="s">
        <v>51</v>
      </c>
      <c r="C42" s="26" t="s">
        <v>53</v>
      </c>
      <c r="D42" s="24">
        <v>0</v>
      </c>
      <c r="E42" s="24">
        <v>0</v>
      </c>
      <c r="F42" s="29">
        <f>D42-E42</f>
        <v>0</v>
      </c>
      <c r="G42" s="29" t="str">
        <f>IF(F42&gt;0,"Available","Not Available")</f>
        <v>Not Available</v>
      </c>
      <c r="H42" s="35"/>
      <c r="I42" s="35"/>
      <c r="J42" s="35"/>
    </row>
    <row r="43" spans="1:10" ht="18" customHeight="1" x14ac:dyDescent="0.2">
      <c r="A43" s="18">
        <v>35</v>
      </c>
      <c r="B43" s="19" t="s">
        <v>51</v>
      </c>
      <c r="C43" s="20" t="s">
        <v>54</v>
      </c>
      <c r="D43" s="18">
        <v>0</v>
      </c>
      <c r="E43" s="18">
        <v>0</v>
      </c>
      <c r="F43" s="23">
        <f>D43-E43</f>
        <v>0</v>
      </c>
      <c r="G43" s="23" t="str">
        <f>IF(F43&gt;0,"Available","Not Available")</f>
        <v>Not Available</v>
      </c>
      <c r="H43" s="34"/>
      <c r="I43" s="34"/>
      <c r="J43" s="34"/>
    </row>
    <row r="44" spans="1:10" ht="21.75" customHeight="1" x14ac:dyDescent="0.2">
      <c r="A44" s="1" t="s">
        <v>55</v>
      </c>
      <c r="B44" s="1"/>
      <c r="C44" s="1"/>
      <c r="D44" s="50">
        <f>SUM(D4:D43)</f>
        <v>0</v>
      </c>
      <c r="E44" s="50">
        <f>SUM(E4:E43)</f>
        <v>0</v>
      </c>
      <c r="F44" s="50">
        <f>SUM(F4:F43)</f>
        <v>0</v>
      </c>
      <c r="G44" s="51"/>
      <c r="H44" s="51"/>
      <c r="I44" s="51"/>
      <c r="J44" s="51"/>
    </row>
  </sheetData>
  <mergeCells count="7">
    <mergeCell ref="A40:J40"/>
    <mergeCell ref="A44:C44"/>
    <mergeCell ref="A1:J1"/>
    <mergeCell ref="A4:J4"/>
    <mergeCell ref="A8:J8"/>
    <mergeCell ref="A19:J19"/>
    <mergeCell ref="A32:J32"/>
  </mergeCells>
  <conditionalFormatting sqref="G4:G43">
    <cfRule type="expression" dxfId="3" priority="2">
      <formula>G4="Available"</formula>
    </cfRule>
    <cfRule type="expression" dxfId="2" priority="3">
      <formula>G4="Not Available"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65"/>
  <sheetViews>
    <sheetView tabSelected="1" zoomScaleNormal="100" workbookViewId="0">
      <pane ySplit="3" topLeftCell="A4" activePane="bottomLeft" state="frozen"/>
      <selection pane="bottomLeft" sqref="A1:K1"/>
    </sheetView>
  </sheetViews>
  <sheetFormatPr baseColWidth="10" defaultColWidth="8.6640625" defaultRowHeight="15" x14ac:dyDescent="0.2"/>
  <cols>
    <col min="1" max="1" width="7" customWidth="1"/>
    <col min="2" max="2" width="12" customWidth="1"/>
    <col min="3" max="3" width="26" customWidth="1"/>
    <col min="4" max="4" width="16" customWidth="1"/>
    <col min="5" max="5" width="10" customWidth="1"/>
    <col min="6" max="6" width="20" customWidth="1"/>
    <col min="7" max="7" width="22" customWidth="1"/>
    <col min="8" max="8" width="28" customWidth="1"/>
    <col min="9" max="9" width="20" customWidth="1"/>
    <col min="10" max="10" width="16" customWidth="1"/>
    <col min="11" max="11" width="12" customWidth="1"/>
  </cols>
  <sheetData>
    <row r="1" spans="1:11" ht="30" customHeight="1" x14ac:dyDescent="0.2">
      <c r="A1" s="61" t="s">
        <v>73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8" customHeight="1" x14ac:dyDescent="0.2">
      <c r="A2" s="62" t="s">
        <v>74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30" customHeight="1" x14ac:dyDescent="0.2">
      <c r="A3" s="52" t="s">
        <v>75</v>
      </c>
      <c r="B3" s="52" t="s">
        <v>76</v>
      </c>
      <c r="C3" s="52" t="s">
        <v>3</v>
      </c>
      <c r="D3" s="52" t="s">
        <v>2</v>
      </c>
      <c r="E3" s="52" t="s">
        <v>77</v>
      </c>
      <c r="F3" s="52" t="s">
        <v>78</v>
      </c>
      <c r="G3" s="52" t="s">
        <v>79</v>
      </c>
      <c r="H3" s="52" t="s">
        <v>80</v>
      </c>
      <c r="I3" s="52" t="s">
        <v>59</v>
      </c>
      <c r="J3" s="52" t="s">
        <v>81</v>
      </c>
      <c r="K3" s="52" t="s">
        <v>82</v>
      </c>
    </row>
    <row r="4" spans="1:11" ht="18" customHeight="1" x14ac:dyDescent="0.2">
      <c r="A4" s="53">
        <v>1</v>
      </c>
      <c r="B4" s="54" t="s">
        <v>83</v>
      </c>
      <c r="C4" s="54" t="s">
        <v>17</v>
      </c>
      <c r="D4" s="54" t="s">
        <v>16</v>
      </c>
      <c r="E4" s="53">
        <v>2</v>
      </c>
      <c r="F4" s="54" t="s">
        <v>84</v>
      </c>
      <c r="G4" s="54" t="s">
        <v>85</v>
      </c>
      <c r="H4" s="54" t="s">
        <v>86</v>
      </c>
      <c r="I4" s="54" t="s">
        <v>87</v>
      </c>
      <c r="J4" s="54" t="s">
        <v>88</v>
      </c>
      <c r="K4" s="53" t="s">
        <v>89</v>
      </c>
    </row>
    <row r="5" spans="1:11" ht="18" customHeight="1" x14ac:dyDescent="0.2">
      <c r="A5" s="55">
        <v>2</v>
      </c>
      <c r="B5" s="56" t="s">
        <v>83</v>
      </c>
      <c r="C5" s="56" t="s">
        <v>18</v>
      </c>
      <c r="D5" s="56" t="s">
        <v>16</v>
      </c>
      <c r="E5" s="55">
        <v>1</v>
      </c>
      <c r="F5" s="56" t="s">
        <v>90</v>
      </c>
      <c r="G5" s="56" t="s">
        <v>91</v>
      </c>
      <c r="H5" s="56" t="s">
        <v>92</v>
      </c>
      <c r="I5" s="56" t="s">
        <v>93</v>
      </c>
      <c r="J5" s="56" t="s">
        <v>94</v>
      </c>
      <c r="K5" s="55" t="s">
        <v>89</v>
      </c>
    </row>
    <row r="6" spans="1:11" ht="18" customHeight="1" x14ac:dyDescent="0.2">
      <c r="A6" s="57" t="str">
        <f t="shared" ref="A6:A37" si="0">IF(B6&lt;&gt;"",ROW()-3,"")</f>
        <v/>
      </c>
      <c r="B6" s="35"/>
      <c r="C6" s="35"/>
      <c r="D6" s="35"/>
      <c r="E6" s="58"/>
      <c r="F6" s="35"/>
      <c r="G6" s="35"/>
      <c r="H6" s="35"/>
      <c r="I6" s="35"/>
      <c r="J6" s="35"/>
      <c r="K6" s="58"/>
    </row>
    <row r="7" spans="1:11" ht="18" customHeight="1" x14ac:dyDescent="0.2">
      <c r="A7" s="59" t="str">
        <f t="shared" si="0"/>
        <v/>
      </c>
      <c r="B7" s="34"/>
      <c r="C7" s="34"/>
      <c r="D7" s="34"/>
      <c r="E7" s="60"/>
      <c r="F7" s="34"/>
      <c r="G7" s="34"/>
      <c r="H7" s="34"/>
      <c r="I7" s="34"/>
      <c r="J7" s="34"/>
      <c r="K7" s="60"/>
    </row>
    <row r="8" spans="1:11" ht="18" customHeight="1" x14ac:dyDescent="0.2">
      <c r="A8" s="57" t="str">
        <f t="shared" si="0"/>
        <v/>
      </c>
      <c r="B8" s="35"/>
      <c r="C8" s="35"/>
      <c r="D8" s="35"/>
      <c r="E8" s="58"/>
      <c r="F8" s="35"/>
      <c r="G8" s="35"/>
      <c r="H8" s="35"/>
      <c r="I8" s="35"/>
      <c r="J8" s="35"/>
      <c r="K8" s="58"/>
    </row>
    <row r="9" spans="1:11" ht="18" customHeight="1" x14ac:dyDescent="0.2">
      <c r="A9" s="59" t="str">
        <f t="shared" si="0"/>
        <v/>
      </c>
      <c r="B9" s="34"/>
      <c r="C9" s="34"/>
      <c r="D9" s="34"/>
      <c r="E9" s="60"/>
      <c r="F9" s="34"/>
      <c r="G9" s="34"/>
      <c r="H9" s="34"/>
      <c r="I9" s="34"/>
      <c r="J9" s="34"/>
      <c r="K9" s="60"/>
    </row>
    <row r="10" spans="1:11" ht="18" customHeight="1" x14ac:dyDescent="0.2">
      <c r="A10" s="57" t="str">
        <f t="shared" si="0"/>
        <v/>
      </c>
      <c r="B10" s="35"/>
      <c r="C10" s="35"/>
      <c r="D10" s="35"/>
      <c r="E10" s="58"/>
      <c r="F10" s="35"/>
      <c r="G10" s="35"/>
      <c r="H10" s="35"/>
      <c r="I10" s="35"/>
      <c r="J10" s="35"/>
      <c r="K10" s="58"/>
    </row>
    <row r="11" spans="1:11" ht="18" customHeight="1" x14ac:dyDescent="0.2">
      <c r="A11" s="59" t="str">
        <f t="shared" si="0"/>
        <v/>
      </c>
      <c r="B11" s="34"/>
      <c r="C11" s="34"/>
      <c r="D11" s="34"/>
      <c r="E11" s="60"/>
      <c r="F11" s="34"/>
      <c r="G11" s="34"/>
      <c r="H11" s="34"/>
      <c r="I11" s="34"/>
      <c r="J11" s="34"/>
      <c r="K11" s="60"/>
    </row>
    <row r="12" spans="1:11" ht="18" customHeight="1" x14ac:dyDescent="0.2">
      <c r="A12" s="57" t="str">
        <f t="shared" si="0"/>
        <v/>
      </c>
      <c r="B12" s="35"/>
      <c r="C12" s="35"/>
      <c r="D12" s="35"/>
      <c r="E12" s="58"/>
      <c r="F12" s="35"/>
      <c r="G12" s="35"/>
      <c r="H12" s="35"/>
      <c r="I12" s="35"/>
      <c r="J12" s="35"/>
      <c r="K12" s="58"/>
    </row>
    <row r="13" spans="1:11" ht="18" customHeight="1" x14ac:dyDescent="0.2">
      <c r="A13" s="59" t="str">
        <f t="shared" si="0"/>
        <v/>
      </c>
      <c r="B13" s="34"/>
      <c r="C13" s="34"/>
      <c r="D13" s="34"/>
      <c r="E13" s="60"/>
      <c r="F13" s="34"/>
      <c r="G13" s="34"/>
      <c r="H13" s="34"/>
      <c r="I13" s="34"/>
      <c r="J13" s="34"/>
      <c r="K13" s="60"/>
    </row>
    <row r="14" spans="1:11" ht="18" customHeight="1" x14ac:dyDescent="0.2">
      <c r="A14" s="57" t="str">
        <f t="shared" si="0"/>
        <v/>
      </c>
      <c r="B14" s="35"/>
      <c r="C14" s="35"/>
      <c r="D14" s="35"/>
      <c r="E14" s="58"/>
      <c r="F14" s="35"/>
      <c r="G14" s="35"/>
      <c r="H14" s="35"/>
      <c r="I14" s="35"/>
      <c r="J14" s="35"/>
      <c r="K14" s="58"/>
    </row>
    <row r="15" spans="1:11" ht="18" customHeight="1" x14ac:dyDescent="0.2">
      <c r="A15" s="59" t="str">
        <f t="shared" si="0"/>
        <v/>
      </c>
      <c r="B15" s="34"/>
      <c r="C15" s="34"/>
      <c r="D15" s="34"/>
      <c r="E15" s="60"/>
      <c r="F15" s="34"/>
      <c r="G15" s="34"/>
      <c r="H15" s="34"/>
      <c r="I15" s="34"/>
      <c r="J15" s="34"/>
      <c r="K15" s="60"/>
    </row>
    <row r="16" spans="1:11" ht="18" customHeight="1" x14ac:dyDescent="0.2">
      <c r="A16" s="57" t="str">
        <f t="shared" si="0"/>
        <v/>
      </c>
      <c r="B16" s="35"/>
      <c r="C16" s="35"/>
      <c r="D16" s="35"/>
      <c r="E16" s="58"/>
      <c r="F16" s="35"/>
      <c r="G16" s="35"/>
      <c r="H16" s="35"/>
      <c r="I16" s="35"/>
      <c r="J16" s="35"/>
      <c r="K16" s="58"/>
    </row>
    <row r="17" spans="1:11" ht="18" customHeight="1" x14ac:dyDescent="0.2">
      <c r="A17" s="59" t="str">
        <f t="shared" si="0"/>
        <v/>
      </c>
      <c r="B17" s="34"/>
      <c r="C17" s="34"/>
      <c r="D17" s="34"/>
      <c r="E17" s="60"/>
      <c r="F17" s="34"/>
      <c r="G17" s="34"/>
      <c r="H17" s="34"/>
      <c r="I17" s="34"/>
      <c r="J17" s="34"/>
      <c r="K17" s="60"/>
    </row>
    <row r="18" spans="1:11" ht="18" customHeight="1" x14ac:dyDescent="0.2">
      <c r="A18" s="57" t="str">
        <f t="shared" si="0"/>
        <v/>
      </c>
      <c r="B18" s="35"/>
      <c r="C18" s="35"/>
      <c r="D18" s="35"/>
      <c r="E18" s="58"/>
      <c r="F18" s="35"/>
      <c r="G18" s="35"/>
      <c r="H18" s="35"/>
      <c r="I18" s="35"/>
      <c r="J18" s="35"/>
      <c r="K18" s="58"/>
    </row>
    <row r="19" spans="1:11" ht="18" customHeight="1" x14ac:dyDescent="0.2">
      <c r="A19" s="59" t="str">
        <f t="shared" si="0"/>
        <v/>
      </c>
      <c r="B19" s="34"/>
      <c r="C19" s="34"/>
      <c r="D19" s="34"/>
      <c r="E19" s="60"/>
      <c r="F19" s="34"/>
      <c r="G19" s="34"/>
      <c r="H19" s="34"/>
      <c r="I19" s="34"/>
      <c r="J19" s="34"/>
      <c r="K19" s="60"/>
    </row>
    <row r="20" spans="1:11" ht="18" customHeight="1" x14ac:dyDescent="0.2">
      <c r="A20" s="57" t="str">
        <f t="shared" si="0"/>
        <v/>
      </c>
      <c r="B20" s="35"/>
      <c r="C20" s="35"/>
      <c r="D20" s="35"/>
      <c r="E20" s="58"/>
      <c r="F20" s="35"/>
      <c r="G20" s="35"/>
      <c r="H20" s="35"/>
      <c r="I20" s="35"/>
      <c r="J20" s="35"/>
      <c r="K20" s="58"/>
    </row>
    <row r="21" spans="1:11" ht="18" customHeight="1" x14ac:dyDescent="0.2">
      <c r="A21" s="59" t="str">
        <f t="shared" si="0"/>
        <v/>
      </c>
      <c r="B21" s="34"/>
      <c r="C21" s="34"/>
      <c r="D21" s="34"/>
      <c r="E21" s="60"/>
      <c r="F21" s="34"/>
      <c r="G21" s="34"/>
      <c r="H21" s="34"/>
      <c r="I21" s="34"/>
      <c r="J21" s="34"/>
      <c r="K21" s="60"/>
    </row>
    <row r="22" spans="1:11" ht="18" customHeight="1" x14ac:dyDescent="0.2">
      <c r="A22" s="57" t="str">
        <f t="shared" si="0"/>
        <v/>
      </c>
      <c r="B22" s="35"/>
      <c r="C22" s="35"/>
      <c r="D22" s="35"/>
      <c r="E22" s="58"/>
      <c r="F22" s="35"/>
      <c r="G22" s="35"/>
      <c r="H22" s="35"/>
      <c r="I22" s="35"/>
      <c r="J22" s="35"/>
      <c r="K22" s="58"/>
    </row>
    <row r="23" spans="1:11" ht="18" customHeight="1" x14ac:dyDescent="0.2">
      <c r="A23" s="59" t="str">
        <f t="shared" si="0"/>
        <v/>
      </c>
      <c r="B23" s="34"/>
      <c r="C23" s="34"/>
      <c r="D23" s="34"/>
      <c r="E23" s="60"/>
      <c r="F23" s="34"/>
      <c r="G23" s="34"/>
      <c r="H23" s="34"/>
      <c r="I23" s="34"/>
      <c r="J23" s="34"/>
      <c r="K23" s="60"/>
    </row>
    <row r="24" spans="1:11" ht="18" customHeight="1" x14ac:dyDescent="0.2">
      <c r="A24" s="57" t="str">
        <f t="shared" si="0"/>
        <v/>
      </c>
      <c r="B24" s="35"/>
      <c r="C24" s="35"/>
      <c r="D24" s="35"/>
      <c r="E24" s="58"/>
      <c r="F24" s="35"/>
      <c r="G24" s="35"/>
      <c r="H24" s="35"/>
      <c r="I24" s="35"/>
      <c r="J24" s="35"/>
      <c r="K24" s="58"/>
    </row>
    <row r="25" spans="1:11" ht="18" customHeight="1" x14ac:dyDescent="0.2">
      <c r="A25" s="59" t="str">
        <f t="shared" si="0"/>
        <v/>
      </c>
      <c r="B25" s="34"/>
      <c r="C25" s="34"/>
      <c r="D25" s="34"/>
      <c r="E25" s="60"/>
      <c r="F25" s="34"/>
      <c r="G25" s="34"/>
      <c r="H25" s="34"/>
      <c r="I25" s="34"/>
      <c r="J25" s="34"/>
      <c r="K25" s="60"/>
    </row>
    <row r="26" spans="1:11" ht="18" customHeight="1" x14ac:dyDescent="0.2">
      <c r="A26" s="57" t="str">
        <f t="shared" si="0"/>
        <v/>
      </c>
      <c r="B26" s="35"/>
      <c r="C26" s="35"/>
      <c r="D26" s="35"/>
      <c r="E26" s="58"/>
      <c r="F26" s="35"/>
      <c r="G26" s="35"/>
      <c r="H26" s="35"/>
      <c r="I26" s="35"/>
      <c r="J26" s="35"/>
      <c r="K26" s="58"/>
    </row>
    <row r="27" spans="1:11" ht="18" customHeight="1" x14ac:dyDescent="0.2">
      <c r="A27" s="59" t="str">
        <f t="shared" si="0"/>
        <v/>
      </c>
      <c r="B27" s="34"/>
      <c r="C27" s="34"/>
      <c r="D27" s="34"/>
      <c r="E27" s="60"/>
      <c r="F27" s="34"/>
      <c r="G27" s="34"/>
      <c r="H27" s="34"/>
      <c r="I27" s="34"/>
      <c r="J27" s="34"/>
      <c r="K27" s="60"/>
    </row>
    <row r="28" spans="1:11" ht="18" customHeight="1" x14ac:dyDescent="0.2">
      <c r="A28" s="57" t="str">
        <f t="shared" si="0"/>
        <v/>
      </c>
      <c r="B28" s="35"/>
      <c r="C28" s="35"/>
      <c r="D28" s="35"/>
      <c r="E28" s="58"/>
      <c r="F28" s="35"/>
      <c r="G28" s="35"/>
      <c r="H28" s="35"/>
      <c r="I28" s="35"/>
      <c r="J28" s="35"/>
      <c r="K28" s="58"/>
    </row>
    <row r="29" spans="1:11" ht="18" customHeight="1" x14ac:dyDescent="0.2">
      <c r="A29" s="59" t="str">
        <f t="shared" si="0"/>
        <v/>
      </c>
      <c r="B29" s="34"/>
      <c r="C29" s="34"/>
      <c r="D29" s="34"/>
      <c r="E29" s="60"/>
      <c r="F29" s="34"/>
      <c r="G29" s="34"/>
      <c r="H29" s="34"/>
      <c r="I29" s="34"/>
      <c r="J29" s="34"/>
      <c r="K29" s="60"/>
    </row>
    <row r="30" spans="1:11" ht="18" customHeight="1" x14ac:dyDescent="0.2">
      <c r="A30" s="57" t="str">
        <f t="shared" si="0"/>
        <v/>
      </c>
      <c r="B30" s="35"/>
      <c r="C30" s="35"/>
      <c r="D30" s="35"/>
      <c r="E30" s="58"/>
      <c r="F30" s="35"/>
      <c r="G30" s="35"/>
      <c r="H30" s="35"/>
      <c r="I30" s="35"/>
      <c r="J30" s="35"/>
      <c r="K30" s="58"/>
    </row>
    <row r="31" spans="1:11" ht="18" customHeight="1" x14ac:dyDescent="0.2">
      <c r="A31" s="59" t="str">
        <f t="shared" si="0"/>
        <v/>
      </c>
      <c r="B31" s="34"/>
      <c r="C31" s="34"/>
      <c r="D31" s="34"/>
      <c r="E31" s="60"/>
      <c r="F31" s="34"/>
      <c r="G31" s="34"/>
      <c r="H31" s="34"/>
      <c r="I31" s="34"/>
      <c r="J31" s="34"/>
      <c r="K31" s="60"/>
    </row>
    <row r="32" spans="1:11" ht="18" customHeight="1" x14ac:dyDescent="0.2">
      <c r="A32" s="57" t="str">
        <f t="shared" si="0"/>
        <v/>
      </c>
      <c r="B32" s="35"/>
      <c r="C32" s="35"/>
      <c r="D32" s="35"/>
      <c r="E32" s="58"/>
      <c r="F32" s="35"/>
      <c r="G32" s="35"/>
      <c r="H32" s="35"/>
      <c r="I32" s="35"/>
      <c r="J32" s="35"/>
      <c r="K32" s="58"/>
    </row>
    <row r="33" spans="1:11" ht="18" customHeight="1" x14ac:dyDescent="0.2">
      <c r="A33" s="59" t="str">
        <f t="shared" si="0"/>
        <v/>
      </c>
      <c r="B33" s="34"/>
      <c r="C33" s="34"/>
      <c r="D33" s="34"/>
      <c r="E33" s="60"/>
      <c r="F33" s="34"/>
      <c r="G33" s="34"/>
      <c r="H33" s="34"/>
      <c r="I33" s="34"/>
      <c r="J33" s="34"/>
      <c r="K33" s="60"/>
    </row>
    <row r="34" spans="1:11" ht="18" customHeight="1" x14ac:dyDescent="0.2">
      <c r="A34" s="57" t="str">
        <f t="shared" si="0"/>
        <v/>
      </c>
      <c r="B34" s="35"/>
      <c r="C34" s="35"/>
      <c r="D34" s="35"/>
      <c r="E34" s="58"/>
      <c r="F34" s="35"/>
      <c r="G34" s="35"/>
      <c r="H34" s="35"/>
      <c r="I34" s="35"/>
      <c r="J34" s="35"/>
      <c r="K34" s="58"/>
    </row>
    <row r="35" spans="1:11" ht="18" customHeight="1" x14ac:dyDescent="0.2">
      <c r="A35" s="59" t="str">
        <f t="shared" si="0"/>
        <v/>
      </c>
      <c r="B35" s="34"/>
      <c r="C35" s="34"/>
      <c r="D35" s="34"/>
      <c r="E35" s="60"/>
      <c r="F35" s="34"/>
      <c r="G35" s="34"/>
      <c r="H35" s="34"/>
      <c r="I35" s="34"/>
      <c r="J35" s="34"/>
      <c r="K35" s="60"/>
    </row>
    <row r="36" spans="1:11" ht="18" customHeight="1" x14ac:dyDescent="0.2">
      <c r="A36" s="57" t="str">
        <f t="shared" si="0"/>
        <v/>
      </c>
      <c r="B36" s="35"/>
      <c r="C36" s="35"/>
      <c r="D36" s="35"/>
      <c r="E36" s="58"/>
      <c r="F36" s="35"/>
      <c r="G36" s="35"/>
      <c r="H36" s="35"/>
      <c r="I36" s="35"/>
      <c r="J36" s="35"/>
      <c r="K36" s="58"/>
    </row>
    <row r="37" spans="1:11" ht="18" customHeight="1" x14ac:dyDescent="0.2">
      <c r="A37" s="59" t="str">
        <f t="shared" si="0"/>
        <v/>
      </c>
      <c r="B37" s="34"/>
      <c r="C37" s="34"/>
      <c r="D37" s="34"/>
      <c r="E37" s="60"/>
      <c r="F37" s="34"/>
      <c r="G37" s="34"/>
      <c r="H37" s="34"/>
      <c r="I37" s="34"/>
      <c r="J37" s="34"/>
      <c r="K37" s="60"/>
    </row>
    <row r="38" spans="1:11" ht="18" customHeight="1" x14ac:dyDescent="0.2">
      <c r="A38" s="57" t="str">
        <f t="shared" ref="A38:A69" si="1">IF(B38&lt;&gt;"",ROW()-3,"")</f>
        <v/>
      </c>
      <c r="B38" s="35"/>
      <c r="C38" s="35"/>
      <c r="D38" s="35"/>
      <c r="E38" s="58"/>
      <c r="F38" s="35"/>
      <c r="G38" s="35"/>
      <c r="H38" s="35"/>
      <c r="I38" s="35"/>
      <c r="J38" s="35"/>
      <c r="K38" s="58"/>
    </row>
    <row r="39" spans="1:11" ht="18" customHeight="1" x14ac:dyDescent="0.2">
      <c r="A39" s="59" t="str">
        <f t="shared" si="1"/>
        <v/>
      </c>
      <c r="B39" s="34"/>
      <c r="C39" s="34"/>
      <c r="D39" s="34"/>
      <c r="E39" s="60"/>
      <c r="F39" s="34"/>
      <c r="G39" s="34"/>
      <c r="H39" s="34"/>
      <c r="I39" s="34"/>
      <c r="J39" s="34"/>
      <c r="K39" s="60"/>
    </row>
    <row r="40" spans="1:11" ht="18" customHeight="1" x14ac:dyDescent="0.2">
      <c r="A40" s="57" t="str">
        <f t="shared" si="1"/>
        <v/>
      </c>
      <c r="B40" s="35"/>
      <c r="C40" s="35"/>
      <c r="D40" s="35"/>
      <c r="E40" s="58"/>
      <c r="F40" s="35"/>
      <c r="G40" s="35"/>
      <c r="H40" s="35"/>
      <c r="I40" s="35"/>
      <c r="J40" s="35"/>
      <c r="K40" s="58"/>
    </row>
    <row r="41" spans="1:11" ht="18" customHeight="1" x14ac:dyDescent="0.2">
      <c r="A41" s="59" t="str">
        <f t="shared" si="1"/>
        <v/>
      </c>
      <c r="B41" s="34"/>
      <c r="C41" s="34"/>
      <c r="D41" s="34"/>
      <c r="E41" s="60"/>
      <c r="F41" s="34"/>
      <c r="G41" s="34"/>
      <c r="H41" s="34"/>
      <c r="I41" s="34"/>
      <c r="J41" s="34"/>
      <c r="K41" s="60"/>
    </row>
    <row r="42" spans="1:11" ht="18" customHeight="1" x14ac:dyDescent="0.2">
      <c r="A42" s="57" t="str">
        <f t="shared" si="1"/>
        <v/>
      </c>
      <c r="B42" s="35"/>
      <c r="C42" s="35"/>
      <c r="D42" s="35"/>
      <c r="E42" s="58"/>
      <c r="F42" s="35"/>
      <c r="G42" s="35"/>
      <c r="H42" s="35"/>
      <c r="I42" s="35"/>
      <c r="J42" s="35"/>
      <c r="K42" s="58"/>
    </row>
    <row r="43" spans="1:11" ht="18" customHeight="1" x14ac:dyDescent="0.2">
      <c r="A43" s="59" t="str">
        <f t="shared" si="1"/>
        <v/>
      </c>
      <c r="B43" s="34"/>
      <c r="C43" s="34"/>
      <c r="D43" s="34"/>
      <c r="E43" s="60"/>
      <c r="F43" s="34"/>
      <c r="G43" s="34"/>
      <c r="H43" s="34"/>
      <c r="I43" s="34"/>
      <c r="J43" s="34"/>
      <c r="K43" s="60"/>
    </row>
    <row r="44" spans="1:11" ht="18" customHeight="1" x14ac:dyDescent="0.2">
      <c r="A44" s="57" t="str">
        <f t="shared" si="1"/>
        <v/>
      </c>
      <c r="B44" s="35"/>
      <c r="C44" s="35"/>
      <c r="D44" s="35"/>
      <c r="E44" s="58"/>
      <c r="F44" s="35"/>
      <c r="G44" s="35"/>
      <c r="H44" s="35"/>
      <c r="I44" s="35"/>
      <c r="J44" s="35"/>
      <c r="K44" s="58"/>
    </row>
    <row r="45" spans="1:11" ht="18" customHeight="1" x14ac:dyDescent="0.2">
      <c r="A45" s="59" t="str">
        <f t="shared" si="1"/>
        <v/>
      </c>
      <c r="B45" s="34"/>
      <c r="C45" s="34"/>
      <c r="D45" s="34"/>
      <c r="E45" s="60"/>
      <c r="F45" s="34"/>
      <c r="G45" s="34"/>
      <c r="H45" s="34"/>
      <c r="I45" s="34"/>
      <c r="J45" s="34"/>
      <c r="K45" s="60"/>
    </row>
    <row r="46" spans="1:11" ht="18" customHeight="1" x14ac:dyDescent="0.2">
      <c r="A46" s="57" t="str">
        <f t="shared" si="1"/>
        <v/>
      </c>
      <c r="B46" s="35"/>
      <c r="C46" s="35"/>
      <c r="D46" s="35"/>
      <c r="E46" s="58"/>
      <c r="F46" s="35"/>
      <c r="G46" s="35"/>
      <c r="H46" s="35"/>
      <c r="I46" s="35"/>
      <c r="J46" s="35"/>
      <c r="K46" s="58"/>
    </row>
    <row r="47" spans="1:11" ht="18" customHeight="1" x14ac:dyDescent="0.2">
      <c r="A47" s="59" t="str">
        <f t="shared" si="1"/>
        <v/>
      </c>
      <c r="B47" s="34"/>
      <c r="C47" s="34"/>
      <c r="D47" s="34"/>
      <c r="E47" s="60"/>
      <c r="F47" s="34"/>
      <c r="G47" s="34"/>
      <c r="H47" s="34"/>
      <c r="I47" s="34"/>
      <c r="J47" s="34"/>
      <c r="K47" s="60"/>
    </row>
    <row r="48" spans="1:11" ht="18" customHeight="1" x14ac:dyDescent="0.2">
      <c r="A48" s="57" t="str">
        <f t="shared" si="1"/>
        <v/>
      </c>
      <c r="B48" s="35"/>
      <c r="C48" s="35"/>
      <c r="D48" s="35"/>
      <c r="E48" s="58"/>
      <c r="F48" s="35"/>
      <c r="G48" s="35"/>
      <c r="H48" s="35"/>
      <c r="I48" s="35"/>
      <c r="J48" s="35"/>
      <c r="K48" s="58"/>
    </row>
    <row r="49" spans="1:11" ht="18" customHeight="1" x14ac:dyDescent="0.2">
      <c r="A49" s="59" t="str">
        <f t="shared" si="1"/>
        <v/>
      </c>
      <c r="B49" s="34"/>
      <c r="C49" s="34"/>
      <c r="D49" s="34"/>
      <c r="E49" s="60"/>
      <c r="F49" s="34"/>
      <c r="G49" s="34"/>
      <c r="H49" s="34"/>
      <c r="I49" s="34"/>
      <c r="J49" s="34"/>
      <c r="K49" s="60"/>
    </row>
    <row r="50" spans="1:11" ht="18" customHeight="1" x14ac:dyDescent="0.2">
      <c r="A50" s="57" t="str">
        <f t="shared" si="1"/>
        <v/>
      </c>
      <c r="B50" s="35"/>
      <c r="C50" s="35"/>
      <c r="D50" s="35"/>
      <c r="E50" s="58"/>
      <c r="F50" s="35"/>
      <c r="G50" s="35"/>
      <c r="H50" s="35"/>
      <c r="I50" s="35"/>
      <c r="J50" s="35"/>
      <c r="K50" s="58"/>
    </row>
    <row r="51" spans="1:11" ht="18" customHeight="1" x14ac:dyDescent="0.2">
      <c r="A51" s="59" t="str">
        <f t="shared" si="1"/>
        <v/>
      </c>
      <c r="B51" s="34"/>
      <c r="C51" s="34"/>
      <c r="D51" s="34"/>
      <c r="E51" s="60"/>
      <c r="F51" s="34"/>
      <c r="G51" s="34"/>
      <c r="H51" s="34"/>
      <c r="I51" s="34"/>
      <c r="J51" s="34"/>
      <c r="K51" s="60"/>
    </row>
    <row r="52" spans="1:11" ht="18" customHeight="1" x14ac:dyDescent="0.2">
      <c r="A52" s="57" t="str">
        <f t="shared" si="1"/>
        <v/>
      </c>
      <c r="B52" s="35"/>
      <c r="C52" s="35"/>
      <c r="D52" s="35"/>
      <c r="E52" s="58"/>
      <c r="F52" s="35"/>
      <c r="G52" s="35"/>
      <c r="H52" s="35"/>
      <c r="I52" s="35"/>
      <c r="J52" s="35"/>
      <c r="K52" s="58"/>
    </row>
    <row r="53" spans="1:11" ht="18" customHeight="1" x14ac:dyDescent="0.2">
      <c r="A53" s="59" t="str">
        <f t="shared" si="1"/>
        <v/>
      </c>
      <c r="B53" s="34"/>
      <c r="C53" s="34"/>
      <c r="D53" s="34"/>
      <c r="E53" s="60"/>
      <c r="F53" s="34"/>
      <c r="G53" s="34"/>
      <c r="H53" s="34"/>
      <c r="I53" s="34"/>
      <c r="J53" s="34"/>
      <c r="K53" s="60"/>
    </row>
    <row r="54" spans="1:11" ht="18" customHeight="1" x14ac:dyDescent="0.2">
      <c r="A54" s="57" t="str">
        <f t="shared" si="1"/>
        <v/>
      </c>
      <c r="B54" s="35"/>
      <c r="C54" s="35"/>
      <c r="D54" s="35"/>
      <c r="E54" s="58"/>
      <c r="F54" s="35"/>
      <c r="G54" s="35"/>
      <c r="H54" s="35"/>
      <c r="I54" s="35"/>
      <c r="J54" s="35"/>
      <c r="K54" s="58"/>
    </row>
    <row r="55" spans="1:11" ht="18" customHeight="1" x14ac:dyDescent="0.2">
      <c r="A55" s="59" t="str">
        <f t="shared" si="1"/>
        <v/>
      </c>
      <c r="B55" s="34"/>
      <c r="C55" s="34"/>
      <c r="D55" s="34"/>
      <c r="E55" s="60"/>
      <c r="F55" s="34"/>
      <c r="G55" s="34"/>
      <c r="H55" s="34"/>
      <c r="I55" s="34"/>
      <c r="J55" s="34"/>
      <c r="K55" s="60"/>
    </row>
    <row r="56" spans="1:11" ht="18" customHeight="1" x14ac:dyDescent="0.2">
      <c r="A56" s="57" t="str">
        <f t="shared" si="1"/>
        <v/>
      </c>
      <c r="B56" s="35"/>
      <c r="C56" s="35"/>
      <c r="D56" s="35"/>
      <c r="E56" s="58"/>
      <c r="F56" s="35"/>
      <c r="G56" s="35"/>
      <c r="H56" s="35"/>
      <c r="I56" s="35"/>
      <c r="J56" s="35"/>
      <c r="K56" s="58"/>
    </row>
    <row r="57" spans="1:11" ht="18" customHeight="1" x14ac:dyDescent="0.2">
      <c r="A57" s="59" t="str">
        <f t="shared" si="1"/>
        <v/>
      </c>
      <c r="B57" s="34"/>
      <c r="C57" s="34"/>
      <c r="D57" s="34"/>
      <c r="E57" s="60"/>
      <c r="F57" s="34"/>
      <c r="G57" s="34"/>
      <c r="H57" s="34"/>
      <c r="I57" s="34"/>
      <c r="J57" s="34"/>
      <c r="K57" s="60"/>
    </row>
    <row r="58" spans="1:11" ht="18" customHeight="1" x14ac:dyDescent="0.2">
      <c r="A58" s="57" t="str">
        <f t="shared" si="1"/>
        <v/>
      </c>
      <c r="B58" s="35"/>
      <c r="C58" s="35"/>
      <c r="D58" s="35"/>
      <c r="E58" s="58"/>
      <c r="F58" s="35"/>
      <c r="G58" s="35"/>
      <c r="H58" s="35"/>
      <c r="I58" s="35"/>
      <c r="J58" s="35"/>
      <c r="K58" s="58"/>
    </row>
    <row r="59" spans="1:11" ht="18" customHeight="1" x14ac:dyDescent="0.2">
      <c r="A59" s="59" t="str">
        <f t="shared" si="1"/>
        <v/>
      </c>
      <c r="B59" s="34"/>
      <c r="C59" s="34"/>
      <c r="D59" s="34"/>
      <c r="E59" s="60"/>
      <c r="F59" s="34"/>
      <c r="G59" s="34"/>
      <c r="H59" s="34"/>
      <c r="I59" s="34"/>
      <c r="J59" s="34"/>
      <c r="K59" s="60"/>
    </row>
    <row r="60" spans="1:11" ht="18" customHeight="1" x14ac:dyDescent="0.2">
      <c r="A60" s="57" t="str">
        <f t="shared" si="1"/>
        <v/>
      </c>
      <c r="B60" s="35"/>
      <c r="C60" s="35"/>
      <c r="D60" s="35"/>
      <c r="E60" s="58"/>
      <c r="F60" s="35"/>
      <c r="G60" s="35"/>
      <c r="H60" s="35"/>
      <c r="I60" s="35"/>
      <c r="J60" s="35"/>
      <c r="K60" s="58"/>
    </row>
    <row r="61" spans="1:11" ht="18" customHeight="1" x14ac:dyDescent="0.2">
      <c r="A61" s="59" t="str">
        <f t="shared" si="1"/>
        <v/>
      </c>
      <c r="B61" s="34"/>
      <c r="C61" s="34"/>
      <c r="D61" s="34"/>
      <c r="E61" s="60"/>
      <c r="F61" s="34"/>
      <c r="G61" s="34"/>
      <c r="H61" s="34"/>
      <c r="I61" s="34"/>
      <c r="J61" s="34"/>
      <c r="K61" s="60"/>
    </row>
    <row r="62" spans="1:11" ht="18" customHeight="1" x14ac:dyDescent="0.2">
      <c r="A62" s="57" t="str">
        <f t="shared" si="1"/>
        <v/>
      </c>
      <c r="B62" s="35"/>
      <c r="C62" s="35"/>
      <c r="D62" s="35"/>
      <c r="E62" s="58"/>
      <c r="F62" s="35"/>
      <c r="G62" s="35"/>
      <c r="H62" s="35"/>
      <c r="I62" s="35"/>
      <c r="J62" s="35"/>
      <c r="K62" s="58"/>
    </row>
    <row r="63" spans="1:11" ht="18" customHeight="1" x14ac:dyDescent="0.2">
      <c r="A63" s="59" t="str">
        <f t="shared" si="1"/>
        <v/>
      </c>
      <c r="B63" s="34"/>
      <c r="C63" s="34"/>
      <c r="D63" s="34"/>
      <c r="E63" s="60"/>
      <c r="F63" s="34"/>
      <c r="G63" s="34"/>
      <c r="H63" s="34"/>
      <c r="I63" s="34"/>
      <c r="J63" s="34"/>
      <c r="K63" s="60"/>
    </row>
    <row r="64" spans="1:11" ht="18" customHeight="1" x14ac:dyDescent="0.2">
      <c r="A64" s="57" t="str">
        <f t="shared" si="1"/>
        <v/>
      </c>
      <c r="B64" s="35"/>
      <c r="C64" s="35"/>
      <c r="D64" s="35"/>
      <c r="E64" s="58"/>
      <c r="F64" s="35"/>
      <c r="G64" s="35"/>
      <c r="H64" s="35"/>
      <c r="I64" s="35"/>
      <c r="J64" s="35"/>
      <c r="K64" s="58"/>
    </row>
    <row r="65" spans="1:11" ht="18" customHeight="1" x14ac:dyDescent="0.2">
      <c r="A65" s="59" t="str">
        <f t="shared" si="1"/>
        <v/>
      </c>
      <c r="B65" s="34"/>
      <c r="C65" s="34"/>
      <c r="D65" s="34"/>
      <c r="E65" s="60"/>
      <c r="F65" s="34"/>
      <c r="G65" s="34"/>
      <c r="H65" s="34"/>
      <c r="I65" s="34"/>
      <c r="J65" s="34"/>
      <c r="K65" s="60"/>
    </row>
  </sheetData>
  <mergeCells count="2">
    <mergeCell ref="A1:K1"/>
    <mergeCell ref="A2:K2"/>
  </mergeCells>
  <conditionalFormatting sqref="A6:K65">
    <cfRule type="expression" dxfId="1" priority="2">
      <formula>OR($G6="Retired / Damaged",$G6="Lost / Missing",$G6="Under Repair",$G6="Returned to Supplier")</formula>
    </cfRule>
    <cfRule type="expression" dxfId="0" priority="3">
      <formula>AND($G6&lt;&gt;"",$G6&lt;&gt;"Retired / Damaged",$G6&lt;&gt;"Lost / Missing",$G6&lt;&gt;"Under Repair",$G6&lt;&gt;"Returned to Supplier")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 Inventory</vt:lpstr>
      <vt:lpstr>At North Copenhagen</vt:lpstr>
      <vt:lpstr>GVX 03 - Gavle</vt:lpstr>
      <vt:lpstr>Conapto S4</vt:lpstr>
      <vt:lpstr>New Project 1</vt:lpstr>
      <vt:lpstr>New Project 2</vt:lpstr>
      <vt:lpstr>New Project 3</vt:lpstr>
      <vt:lpstr>New Project 4</vt:lpstr>
      <vt:lpstr>New Project 5</vt:lpstr>
      <vt:lpstr>Item Movement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Avishka Ranasinghe</cp:lastModifiedBy>
  <cp:revision>0</cp:revision>
  <dcterms:created xsi:type="dcterms:W3CDTF">2026-05-26T20:00:39Z</dcterms:created>
  <dcterms:modified xsi:type="dcterms:W3CDTF">2026-05-27T14:29:10Z</dcterms:modified>
  <dc:language>en-US</dc:language>
</cp:coreProperties>
</file>