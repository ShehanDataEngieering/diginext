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vishka/Desktop/Inventory/"/>
    </mc:Choice>
  </mc:AlternateContent>
  <xr:revisionPtr revIDLastSave="0" documentId="8_{556930BB-92DB-CD47-A7E0-28025AAC556E}" xr6:coauthVersionLast="47" xr6:coauthVersionMax="47" xr10:uidLastSave="{00000000-0000-0000-0000-000000000000}"/>
  <bookViews>
    <workbookView xWindow="0" yWindow="0" windowWidth="28160" windowHeight="17620" tabRatio="500" activeTab="2" xr2:uid="{00000000-000D-0000-FFFF-FFFF00000000}"/>
  </bookViews>
  <sheets>
    <sheet name="Main Inventory" sheetId="1" r:id="rId1"/>
    <sheet name="Item ID Details" sheetId="2" r:id="rId2"/>
    <sheet name="North Copenhagen" sheetId="3" r:id="rId3"/>
    <sheet name="GVX 03 - Gavle" sheetId="4" r:id="rId4"/>
    <sheet name="Conapto S4" sheetId="5" r:id="rId5"/>
    <sheet name="New Project Template" sheetId="6" r:id="rId6"/>
    <sheet name="Transfer Log" sheetId="7" r:id="rId7"/>
    <sheet name="Hand Over Recor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1" l="1"/>
  <c r="H33" i="1" s="1"/>
  <c r="I33" i="1" s="1"/>
  <c r="A2" i="8"/>
  <c r="A2" i="7"/>
  <c r="I9" i="6"/>
  <c r="I9" i="5"/>
  <c r="I9" i="4"/>
  <c r="I9" i="3"/>
  <c r="A2" i="2"/>
  <c r="G42" i="1"/>
  <c r="F42" i="1"/>
  <c r="E42" i="1"/>
  <c r="D41" i="1"/>
  <c r="H41" i="1" s="1"/>
  <c r="I41" i="1" s="1"/>
  <c r="D40" i="1"/>
  <c r="H40" i="1" s="1"/>
  <c r="I40" i="1" s="1"/>
  <c r="D39" i="1"/>
  <c r="H39" i="1" s="1"/>
  <c r="I39" i="1" s="1"/>
  <c r="D38" i="1"/>
  <c r="H38" i="1" s="1"/>
  <c r="I38" i="1" s="1"/>
  <c r="D37" i="1"/>
  <c r="H37" i="1" s="1"/>
  <c r="I37" i="1" s="1"/>
  <c r="D36" i="1"/>
  <c r="H36" i="1" s="1"/>
  <c r="I36" i="1" s="1"/>
  <c r="D35" i="1"/>
  <c r="H35" i="1" s="1"/>
  <c r="I35" i="1" s="1"/>
  <c r="D34" i="1"/>
  <c r="H34" i="1" s="1"/>
  <c r="I34" i="1" s="1"/>
  <c r="D32" i="1"/>
  <c r="H32" i="1" s="1"/>
  <c r="I32" i="1" s="1"/>
  <c r="D31" i="1"/>
  <c r="H31" i="1" s="1"/>
  <c r="I31" i="1" s="1"/>
  <c r="D30" i="1"/>
  <c r="H30" i="1" s="1"/>
  <c r="I30" i="1" s="1"/>
  <c r="D29" i="1"/>
  <c r="H29" i="1" s="1"/>
  <c r="I29" i="1" s="1"/>
  <c r="D28" i="1"/>
  <c r="H28" i="1" s="1"/>
  <c r="I28" i="1" s="1"/>
  <c r="D27" i="1"/>
  <c r="H27" i="1" s="1"/>
  <c r="I27" i="1" s="1"/>
  <c r="D26" i="1"/>
  <c r="H26" i="1" s="1"/>
  <c r="I26" i="1" s="1"/>
  <c r="D25" i="1"/>
  <c r="H25" i="1" s="1"/>
  <c r="I25" i="1" s="1"/>
  <c r="D24" i="1"/>
  <c r="H24" i="1" s="1"/>
  <c r="I24" i="1" s="1"/>
  <c r="D23" i="1"/>
  <c r="H23" i="1" s="1"/>
  <c r="I23" i="1" s="1"/>
  <c r="D22" i="1"/>
  <c r="H22" i="1" s="1"/>
  <c r="I22" i="1" s="1"/>
  <c r="D21" i="1"/>
  <c r="H21" i="1" s="1"/>
  <c r="I21" i="1" s="1"/>
  <c r="D20" i="1"/>
  <c r="H20" i="1" s="1"/>
  <c r="I20" i="1" s="1"/>
  <c r="D19" i="1"/>
  <c r="H19" i="1" s="1"/>
  <c r="I19" i="1" s="1"/>
  <c r="D18" i="1"/>
  <c r="H18" i="1" s="1"/>
  <c r="I18" i="1" s="1"/>
  <c r="D17" i="1"/>
  <c r="H17" i="1" s="1"/>
  <c r="I17" i="1" s="1"/>
  <c r="D16" i="1"/>
  <c r="H16" i="1" s="1"/>
  <c r="I16" i="1" s="1"/>
  <c r="D15" i="1"/>
  <c r="H15" i="1" s="1"/>
  <c r="I15" i="1" s="1"/>
  <c r="D14" i="1"/>
  <c r="H14" i="1" s="1"/>
  <c r="I14" i="1" s="1"/>
  <c r="D13" i="1"/>
  <c r="H13" i="1" s="1"/>
  <c r="I13" i="1" s="1"/>
  <c r="D12" i="1"/>
  <c r="H12" i="1" s="1"/>
  <c r="I12" i="1" s="1"/>
  <c r="D11" i="1"/>
  <c r="H11" i="1" s="1"/>
  <c r="I11" i="1" s="1"/>
  <c r="D10" i="1"/>
  <c r="H10" i="1" s="1"/>
  <c r="I10" i="1" s="1"/>
  <c r="D9" i="1"/>
  <c r="H9" i="1" s="1"/>
  <c r="I9" i="1" s="1"/>
  <c r="D8" i="1"/>
  <c r="H8" i="1" s="1"/>
  <c r="I8" i="1" s="1"/>
  <c r="D7" i="1"/>
  <c r="H7" i="1" s="1"/>
  <c r="G6" i="1"/>
  <c r="F6" i="1"/>
  <c r="E6" i="1"/>
  <c r="D6" i="1"/>
  <c r="H42" i="1" l="1"/>
  <c r="I7" i="1"/>
</calcChain>
</file>

<file path=xl/sharedStrings.xml><?xml version="1.0" encoding="utf-8"?>
<sst xmlns="http://schemas.openxmlformats.org/spreadsheetml/2006/main" count="1362" uniqueCount="286">
  <si>
    <t>MAIN INVENTORY MANAGEMENT SYSTEM</t>
  </si>
  <si>
    <t>Last Updated:</t>
  </si>
  <si>
    <t>No</t>
  </si>
  <si>
    <t>Category</t>
  </si>
  <si>
    <t>Item Name</t>
  </si>
  <si>
    <t>Available
Balance</t>
  </si>
  <si>
    <t>Status</t>
  </si>
  <si>
    <t>Termination Tools</t>
  </si>
  <si>
    <t>Cable Tester</t>
  </si>
  <si>
    <t>Cable Cutter</t>
  </si>
  <si>
    <t>Crimping Tool</t>
  </si>
  <si>
    <t>Safety Related Items</t>
  </si>
  <si>
    <t>Body Harness</t>
  </si>
  <si>
    <t>Lanyards</t>
  </si>
  <si>
    <t>Mobile Scaffolding</t>
  </si>
  <si>
    <t>Barricades</t>
  </si>
  <si>
    <t>Safety Poles</t>
  </si>
  <si>
    <t>Ear Muffs (Attachable)</t>
  </si>
  <si>
    <t>Ear Muffs</t>
  </si>
  <si>
    <t>First Aid</t>
  </si>
  <si>
    <t>Scaffolding Bumpers</t>
  </si>
  <si>
    <t>ESD Wrist Band</t>
  </si>
  <si>
    <t>Site Tools</t>
  </si>
  <si>
    <t>Screw Driver</t>
  </si>
  <si>
    <t>Electric Screwdriver (Hand Tool)</t>
  </si>
  <si>
    <t>Cable Tray Cutter</t>
  </si>
  <si>
    <t>Cable Comb</t>
  </si>
  <si>
    <t>Hand Tool Batteries</t>
  </si>
  <si>
    <t>Hand Tool Batteries Chargers</t>
  </si>
  <si>
    <t>Tool Box Bag</t>
  </si>
  <si>
    <t>Tool Box</t>
  </si>
  <si>
    <t>Scissors</t>
  </si>
  <si>
    <t>Power Code</t>
  </si>
  <si>
    <t>Measuring Tape</t>
  </si>
  <si>
    <t>Laser Level Machine</t>
  </si>
  <si>
    <t>Office Use Items</t>
  </si>
  <si>
    <t>Printers</t>
  </si>
  <si>
    <t>Label Printers</t>
  </si>
  <si>
    <t>White Board</t>
  </si>
  <si>
    <t>Stapler</t>
  </si>
  <si>
    <t>Bench</t>
  </si>
  <si>
    <t>Table</t>
  </si>
  <si>
    <t>Box File</t>
  </si>
  <si>
    <t>Welfare</t>
  </si>
  <si>
    <t>Rice Cooker</t>
  </si>
  <si>
    <t>Heaters</t>
  </si>
  <si>
    <t>Coffee Machine</t>
  </si>
  <si>
    <t>TOTALS</t>
  </si>
  <si>
    <t>[ + ADD NEW ITEM ]   Enter item number, category, name, initial stock, and per-project allocations below. Copy &amp; paste the formulas from columns H &amp; I for new rows.</t>
  </si>
  <si>
    <t>ITEM ID DETAILS  —  All Unique IDs by Item &amp; Project</t>
  </si>
  <si>
    <t>Click any item row to see details. Status column: update manually after transfers.</t>
  </si>
  <si>
    <t>#</t>
  </si>
  <si>
    <t>Item
No</t>
  </si>
  <si>
    <t>Assigned Project</t>
  </si>
  <si>
    <t>Serial / Unique ID</t>
  </si>
  <si>
    <t>Audit Date</t>
  </si>
  <si>
    <t>Remarks</t>
  </si>
  <si>
    <t xml:space="preserve">  Item 01  |  Cable Tester  |  Total Allocated: 1</t>
  </si>
  <si>
    <t>Conapto S4</t>
  </si>
  <si>
    <t>DG/26/CT/04</t>
  </si>
  <si>
    <t>07/04/2026</t>
  </si>
  <si>
    <t>Contain 2 parts</t>
  </si>
  <si>
    <t>In Use</t>
  </si>
  <si>
    <t xml:space="preserve">  Item 02  |  Cable Cutter  |  Total Allocated: 1</t>
  </si>
  <si>
    <t>(no unique ID)</t>
  </si>
  <si>
    <t xml:space="preserve">  Item 03  |  Crimping Tool  |  Total Allocated: 0</t>
  </si>
  <si>
    <t>—</t>
  </si>
  <si>
    <t>Not allocated to any project</t>
  </si>
  <si>
    <t>Available</t>
  </si>
  <si>
    <t xml:space="preserve">  Item 04  |  Body Harness  |  Total Allocated: 20</t>
  </si>
  <si>
    <t>North Copenhagen</t>
  </si>
  <si>
    <t>DN 11</t>
  </si>
  <si>
    <t>14/04/2026</t>
  </si>
  <si>
    <t>3M</t>
  </si>
  <si>
    <t>DN 13</t>
  </si>
  <si>
    <t>DN 31</t>
  </si>
  <si>
    <t>DN 52</t>
  </si>
  <si>
    <t>Honeywell</t>
  </si>
  <si>
    <t>DN 60</t>
  </si>
  <si>
    <t>GVX 03 - Gavle</t>
  </si>
  <si>
    <t>DN-06</t>
  </si>
  <si>
    <t>DN-16</t>
  </si>
  <si>
    <t>DN-05</t>
  </si>
  <si>
    <t>DN-59</t>
  </si>
  <si>
    <t>DN-10</t>
  </si>
  <si>
    <t>DN-01</t>
  </si>
  <si>
    <t>Rename DN07</t>
  </si>
  <si>
    <t>043</t>
  </si>
  <si>
    <t>0134</t>
  </si>
  <si>
    <t>DN-02</t>
  </si>
  <si>
    <t>DN 1068</t>
  </si>
  <si>
    <t>DN 1024</t>
  </si>
  <si>
    <t>DN 135</t>
  </si>
  <si>
    <t>Cresto</t>
  </si>
  <si>
    <t>DN 273</t>
  </si>
  <si>
    <t>DN 282</t>
  </si>
  <si>
    <t>DN 023</t>
  </si>
  <si>
    <t>K.S ONE</t>
  </si>
  <si>
    <t xml:space="preserve">  Item 05  |  Lanyards  |  Total Allocated: 23</t>
  </si>
  <si>
    <t>LY 053</t>
  </si>
  <si>
    <t>Honeywell Double</t>
  </si>
  <si>
    <t>LY 010</t>
  </si>
  <si>
    <t>LY 044</t>
  </si>
  <si>
    <t>LY 045</t>
  </si>
  <si>
    <t>LY 005</t>
  </si>
  <si>
    <t>LY 361</t>
  </si>
  <si>
    <t>001</t>
  </si>
  <si>
    <t>0249</t>
  </si>
  <si>
    <t>87039018</t>
  </si>
  <si>
    <t>009</t>
  </si>
  <si>
    <t>0044</t>
  </si>
  <si>
    <t>0171</t>
  </si>
  <si>
    <t>007</t>
  </si>
  <si>
    <t>004</t>
  </si>
  <si>
    <t>008</t>
  </si>
  <si>
    <t>340</t>
  </si>
  <si>
    <t>LY 006</t>
  </si>
  <si>
    <t>LY 014</t>
  </si>
  <si>
    <t>LY 020</t>
  </si>
  <si>
    <t>LY 049</t>
  </si>
  <si>
    <t>LY 132</t>
  </si>
  <si>
    <t>LY 200</t>
  </si>
  <si>
    <t xml:space="preserve">  Item 06  |  Mobile Scaffolding  |  Total Allocated: 1</t>
  </si>
  <si>
    <t>DG/26/MS-01</t>
  </si>
  <si>
    <t xml:space="preserve">  Item 07  |  Barricades  |  Total Allocated: 2</t>
  </si>
  <si>
    <t>DG/25/BG-01</t>
  </si>
  <si>
    <t>DG/25/BG-02</t>
  </si>
  <si>
    <t xml:space="preserve">  Item 08  |  Safety Poles  |  Total Allocated: 4</t>
  </si>
  <si>
    <t>DG/26/SP-01</t>
  </si>
  <si>
    <t>DG/26/SP-02</t>
  </si>
  <si>
    <t>DG/26/SP-03</t>
  </si>
  <si>
    <t>DG/26/SP-04</t>
  </si>
  <si>
    <t xml:space="preserve">  Item 09  |  Ear Muffs (Attachable)  |  Total Allocated: 8</t>
  </si>
  <si>
    <t xml:space="preserve">  Item 10  |  Ear Muffs  |  Total Allocated: 9</t>
  </si>
  <si>
    <t xml:space="preserve">  Item 11  |  First Aid  |  Total Allocated: 2</t>
  </si>
  <si>
    <t>DG25MB01</t>
  </si>
  <si>
    <t>DG/26/FA-01</t>
  </si>
  <si>
    <t xml:space="preserve">  Item 12  |  Scaffolding Bumpers  |  Total Allocated: 8</t>
  </si>
  <si>
    <t xml:space="preserve">  Item 13  |  ESD Wrist Band  |  Total Allocated: 6</t>
  </si>
  <si>
    <t xml:space="preserve">  Item 14  |  Screw Driver  |  Total Allocated: 0</t>
  </si>
  <si>
    <t xml:space="preserve">  Item 15  |  Electric Screwdriver (Hand Tool)  |  Total Allocated: 0</t>
  </si>
  <si>
    <t xml:space="preserve">  Item 16  |  Cable Tray Cutter  |  Total Allocated: 0</t>
  </si>
  <si>
    <t xml:space="preserve">  Item 17  |  Cable Comb  |  Total Allocated: 4</t>
  </si>
  <si>
    <t>DG/26/CC-03</t>
  </si>
  <si>
    <t>DG/26/CC-04</t>
  </si>
  <si>
    <t>DG/26/CC-01</t>
  </si>
  <si>
    <t>DG/26/CC-02</t>
  </si>
  <si>
    <t xml:space="preserve">  Item 18  |  Hand Tool Batteries  |  Total Allocated: 0</t>
  </si>
  <si>
    <t xml:space="preserve">  Item 19  |  Hand Tool Batteries Chargers  |  Total Allocated: 0</t>
  </si>
  <si>
    <t xml:space="preserve">  Item 20  |  Tool Box Bag  |  Total Allocated: 1</t>
  </si>
  <si>
    <t>DG/25/TB 02</t>
  </si>
  <si>
    <t xml:space="preserve">  Item 21  |  Tool Box  |  Total Allocated: 1</t>
  </si>
  <si>
    <t>DG/25/TB 01</t>
  </si>
  <si>
    <t xml:space="preserve">  Item 22  |  Scissors  |  Total Allocated: 17</t>
  </si>
  <si>
    <t xml:space="preserve">  Item 23  |  Power Code  |  Total Allocated: 0</t>
  </si>
  <si>
    <t xml:space="preserve">  Item 24  |  Measuring Tape  |  Total Allocated: 0</t>
  </si>
  <si>
    <t xml:space="preserve">  Item 25  |  Laser Level Machine  |  Total Allocated: 0</t>
  </si>
  <si>
    <t xml:space="preserve">  Item 26  |  Printers  |  Total Allocated: 1</t>
  </si>
  <si>
    <t xml:space="preserve">  Item 27  |  Label Printers  |  Total Allocated: 0</t>
  </si>
  <si>
    <t xml:space="preserve">  Item 28  |  White Board  |  Total Allocated: 1</t>
  </si>
  <si>
    <t xml:space="preserve">  Item 29  |  Stapler  |  Total Allocated: 1</t>
  </si>
  <si>
    <t xml:space="preserve">  Item 30  |  Bench  |  Total Allocated: 4</t>
  </si>
  <si>
    <t>DG/25/C01</t>
  </si>
  <si>
    <t>DG/25/C02</t>
  </si>
  <si>
    <t>DG/25/C03</t>
  </si>
  <si>
    <t>DG/25/C04</t>
  </si>
  <si>
    <t xml:space="preserve">  Item 31  |  Table  |  Total Allocated: 2</t>
  </si>
  <si>
    <t>DG/25/T01</t>
  </si>
  <si>
    <t>DG/25/T02</t>
  </si>
  <si>
    <t xml:space="preserve">  Item 32  |  Box File  |  Total Allocated: 3</t>
  </si>
  <si>
    <t xml:space="preserve">  Item 33  |  Rice Cooker  |  Total Allocated: 2</t>
  </si>
  <si>
    <t>DG/26/RC-01</t>
  </si>
  <si>
    <t>DG/26/RC-02</t>
  </si>
  <si>
    <t xml:space="preserve">  Item 34  |  Heaters  |  Total Allocated: 2</t>
  </si>
  <si>
    <t>DG/25/HR-01</t>
  </si>
  <si>
    <t>DG/25/HR-02</t>
  </si>
  <si>
    <t xml:space="preserve">  Item 35  |  Coffee Machine  |  Total Allocated: 0</t>
  </si>
  <si>
    <t>PROJECT INVENTORY</t>
  </si>
  <si>
    <t>Project Name :</t>
  </si>
  <si>
    <t>At North Copenhagen</t>
  </si>
  <si>
    <t>Last Updated Date:</t>
  </si>
  <si>
    <t>24/04/2026</t>
  </si>
  <si>
    <t>Project Location:</t>
  </si>
  <si>
    <t>Copenhagen</t>
  </si>
  <si>
    <t>Updated by:</t>
  </si>
  <si>
    <t>Pasindu Dhanuka</t>
  </si>
  <si>
    <t>Qty</t>
  </si>
  <si>
    <t>Serial Number / Unique ID</t>
  </si>
  <si>
    <t>Initial Photo Evidence</t>
  </si>
  <si>
    <t>Initial Audit Date</t>
  </si>
  <si>
    <t>Hand Over Photo</t>
  </si>
  <si>
    <t>Hand Over Date</t>
  </si>
  <si>
    <t>-</t>
  </si>
  <si>
    <t>GVX 03</t>
  </si>
  <si>
    <t>07/05/2026</t>
  </si>
  <si>
    <t>Gavle</t>
  </si>
  <si>
    <t>Nuwan Hettiarachchi</t>
  </si>
  <si>
    <t>DN - 06</t>
  </si>
  <si>
    <t>DN - 16</t>
  </si>
  <si>
    <t>DN - 05</t>
  </si>
  <si>
    <t>DN - 59</t>
  </si>
  <si>
    <t>DN - 10</t>
  </si>
  <si>
    <t>DN - 01</t>
  </si>
  <si>
    <t>DN - 02</t>
  </si>
  <si>
    <t>Stockholm</t>
  </si>
  <si>
    <t>Shehan Kavinda</t>
  </si>
  <si>
    <t>PROJECT INVENTORY  [ TEMPLATE - Fill in details below ]</t>
  </si>
  <si>
    <t>ITEM TRANSFER LOG</t>
  </si>
  <si>
    <t>Log every item movement here. Update Main Inventory col E/F/G after each confirmed transfer.</t>
  </si>
  <si>
    <t>Transfer ID</t>
  </si>
  <si>
    <t>Date</t>
  </si>
  <si>
    <t>Serial /
Unique ID</t>
  </si>
  <si>
    <t>From Project</t>
  </si>
  <si>
    <t>To Project</t>
  </si>
  <si>
    <t>Transferred By</t>
  </si>
  <si>
    <t>Authorized By</t>
  </si>
  <si>
    <t>Notes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</si>
  <si>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</si>
  <si>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</si>
  <si>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</si>
  <si>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</si>
  <si>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</si>
  <si>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</si>
  <si>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</si>
  <si>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</si>
  <si>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</si>
  <si>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</si>
  <si>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</si>
  <si>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</si>
  <si>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</si>
  <si>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</si>
  <si>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</si>
  <si>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</si>
  <si>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</si>
  <si>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</si>
  <si>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</si>
  <si>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</si>
  <si>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</si>
  <si>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</si>
  <si>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</si>
  <si>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</si>
  <si>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</si>
  <si>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</si>
  <si>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</si>
  <si>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</si>
  <si>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</si>
  <si>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</si>
  <si>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</si>
  <si>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</si>
  <si>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</si>
  <si>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</si>
  <si>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</si>
  <si>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</si>
  <si>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</si>
  <si>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</si>
  <si>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</si>
  <si>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</si>
  <si>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</si>
  <si>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</si>
  <si>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</si>
  <si>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</si>
  <si>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</si>
  <si>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</si>
  <si>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</si>
  <si>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</si>
  <si>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</si>
  <si>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</si>
  <si>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PROJECT HAND OVER RECORD</t>
  </si>
  <si>
    <t>Use this sheet when a project is COMPLETED. Fill in each item condition and disposition, then sign off.</t>
  </si>
  <si>
    <t>Project Name:</t>
  </si>
  <si>
    <t>Signature (Handing Over):</t>
  </si>
  <si>
    <t>Signature (Receiving):</t>
  </si>
  <si>
    <t>Hand Over Date:</t>
  </si>
  <si>
    <t>Handed Over By:</t>
  </si>
  <si>
    <t>Received By:</t>
  </si>
  <si>
    <t>Authorized By:</t>
  </si>
  <si>
    <t>Condition
(Good/Damaged/Missing)</t>
  </si>
  <si>
    <t>Action
(Return/Transfer To)</t>
  </si>
  <si>
    <t>Transfer
Project</t>
  </si>
  <si>
    <t>Verified By</t>
  </si>
  <si>
    <t>Date
Verified</t>
  </si>
  <si>
    <t>Not allocated</t>
  </si>
  <si>
    <t>CERTIFICATION:  I certify that the above items have been handed over as recorded and all details are correct.</t>
  </si>
  <si>
    <t>Handed Over By (Signature):</t>
  </si>
  <si>
    <t>Received By (Signature):</t>
  </si>
  <si>
    <t>Authorized By (Signature):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</si>
</sst>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b/>
      <sz val="9"/>
      <color rgb="FF2F5597"/>
      <name val="Arial"/>
      <family val="2"/>
    </font>
    <font>
      <b/>
      <sz val="10"/>
      <color rgb="FFFFFFFF"/>
      <name val="Arial"/>
      <family val="2"/>
    </font>
    <font>
      <b/>
      <u/>
      <sz val="10"/>
      <color rgb="FFFFFFFF"/>
      <name val="Arial"/>
      <family val="2"/>
    </font>
    <font>
      <b/>
      <sz val="10"/>
      <color rgb="FF404040"/>
      <name val="Arial"/>
      <family val="2"/>
    </font>
    <font>
      <b/>
      <sz val="9"/>
      <color rgb="FF1F3864"/>
      <name val="Arial"/>
      <family val="2"/>
    </font>
    <font>
      <sz val="10"/>
      <color rgb="FF000000"/>
      <name val="Arial"/>
      <family val="2"/>
    </font>
    <font>
      <b/>
      <u/>
      <sz val="11"/>
      <color rgb="FF1F4E79"/>
      <name val="Arial"/>
      <family val="2"/>
    </font>
    <font>
      <sz val="11"/>
      <color rgb="FFBFBFBF"/>
      <name val="Arial"/>
      <family val="2"/>
    </font>
    <font>
      <b/>
      <sz val="11"/>
      <color rgb="FF7030A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7B3600"/>
      <name val="Arial"/>
      <family val="2"/>
    </font>
    <font>
      <b/>
      <sz val="11"/>
      <color rgb="FFC55A11"/>
      <name val="Arial"/>
      <family val="2"/>
    </font>
    <font>
      <b/>
      <sz val="11"/>
      <color rgb="FF1F7B4D"/>
      <name val="Arial"/>
      <family val="2"/>
    </font>
    <font>
      <b/>
      <sz val="9"/>
      <color rgb="FF1B5E20"/>
      <name val="Arial"/>
      <family val="2"/>
    </font>
    <font>
      <b/>
      <sz val="9"/>
      <color rgb="FF4A148C"/>
      <name val="Arial"/>
      <family val="2"/>
    </font>
    <font>
      <b/>
      <sz val="9"/>
      <color rgb="FF5D4100"/>
      <name val="Arial"/>
      <family val="2"/>
    </font>
    <font>
      <b/>
      <sz val="11"/>
      <color rgb="FFFFFFFF"/>
      <name val="Arial"/>
      <family val="2"/>
    </font>
    <font>
      <i/>
      <sz val="9"/>
      <color rgb="FF2F5597"/>
      <name val="Arial"/>
      <family val="2"/>
    </font>
    <font>
      <b/>
      <sz val="18"/>
      <color rgb="FFFFFFFF"/>
      <name val="Arial"/>
      <family val="2"/>
    </font>
    <font>
      <b/>
      <u/>
      <sz val="9"/>
      <color rgb="FF1F3864"/>
      <name val="Arial"/>
      <family val="2"/>
    </font>
    <font>
      <i/>
      <sz val="9"/>
      <color rgb="FF7B3F00"/>
      <name val="Arial"/>
      <family val="2"/>
    </font>
    <font>
      <b/>
      <sz val="11"/>
      <color rgb="FF1F3864"/>
      <name val="Arial"/>
      <family val="2"/>
    </font>
    <font>
      <sz val="9"/>
      <color rgb="FF404040"/>
      <name val="Arial"/>
      <family val="2"/>
    </font>
    <font>
      <sz val="10"/>
      <color rgb="FF404040"/>
      <name val="Arial"/>
      <family val="2"/>
    </font>
    <font>
      <b/>
      <sz val="10"/>
      <color rgb="FF7030A0"/>
      <name val="Arial"/>
      <family val="2"/>
    </font>
    <font>
      <b/>
      <sz val="10"/>
      <color rgb="FFC55A11"/>
      <name val="Arial"/>
      <family val="2"/>
    </font>
    <font>
      <sz val="10"/>
      <color rgb="FFBFBFBF"/>
      <name val="Arial"/>
      <family val="2"/>
    </font>
    <font>
      <i/>
      <sz val="10"/>
      <color rgb="FFBFBFBF"/>
      <name val="Arial"/>
      <family val="2"/>
    </font>
    <font>
      <b/>
      <sz val="10"/>
      <color rgb="FF375623"/>
      <name val="Arial"/>
      <family val="2"/>
    </font>
    <font>
      <b/>
      <sz val="11"/>
      <color rgb="FF7B3600"/>
      <name val="Arial"/>
      <family val="2"/>
    </font>
    <font>
      <b/>
      <sz val="10"/>
      <color rgb="FF1F7B4D"/>
      <name val="Arial"/>
      <family val="2"/>
    </font>
    <font>
      <b/>
      <sz val="11"/>
      <color rgb="FF1B5E20"/>
      <name val="Arial"/>
      <family val="2"/>
    </font>
    <font>
      <b/>
      <sz val="11"/>
      <color rgb="FF4A148C"/>
      <name val="Arial"/>
      <family val="2"/>
    </font>
    <font>
      <b/>
      <sz val="11"/>
      <color rgb="FF5D4100"/>
      <name val="Arial"/>
      <family val="2"/>
    </font>
    <font>
      <b/>
      <sz val="22"/>
      <color rgb="FFFFFFFF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b/>
      <sz val="10"/>
      <color rgb="FF833C00"/>
      <name val="Arial"/>
      <family val="2"/>
    </font>
    <font>
      <b/>
      <sz val="9"/>
      <color rgb="FFFFFFFF"/>
      <name val="Arial"/>
      <family val="2"/>
    </font>
    <font>
      <b/>
      <sz val="9"/>
      <color rgb="FF7030A0"/>
      <name val="Arial"/>
      <family val="2"/>
    </font>
    <font>
      <sz val="9"/>
      <color rgb="FFBFBFBF"/>
      <name val="Arial"/>
      <family val="2"/>
    </font>
    <font>
      <i/>
      <sz val="9"/>
      <color rgb="FFBFBFBF"/>
      <name val="Arial"/>
      <family val="2"/>
    </font>
    <font>
      <b/>
      <sz val="9"/>
      <color rgb="FFC55A11"/>
      <name val="Arial"/>
      <family val="2"/>
    </font>
    <font>
      <sz val="9"/>
      <color rgb="FF7B3600"/>
      <name val="Arial"/>
      <family val="2"/>
    </font>
    <font>
      <b/>
      <sz val="9"/>
      <color rgb="FF1F7B4D"/>
      <name val="Arial"/>
      <family val="2"/>
    </font>
    <font>
      <sz val="9"/>
      <color rgb="FF1B5E20"/>
      <name val="Arial"/>
      <family val="2"/>
    </font>
    <font>
      <sz val="9"/>
      <color rgb="FF4A148C"/>
      <name val="Arial"/>
      <family val="2"/>
    </font>
    <font>
      <sz val="9"/>
      <color rgb="FF5D4100"/>
      <name val="Arial"/>
      <family val="2"/>
    </font>
    <font>
      <b/>
      <sz val="9"/>
      <color rgb="FF833C00"/>
      <name val="Arial"/>
      <family val="2"/>
    </font>
    <font>
      <u/>
      <sz val="11"/>
      <color theme="10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EEAF1"/>
        <bgColor rgb="FFD6F2EB"/>
      </patternFill>
    </fill>
    <fill>
      <patternFill patternType="solid">
        <fgColor rgb="FFFFF2CC"/>
        <bgColor rgb="FFFFF9CC"/>
      </patternFill>
    </fill>
    <fill>
      <patternFill patternType="solid">
        <fgColor rgb="FF7B3F00"/>
        <bgColor rgb="FF833C00"/>
      </patternFill>
    </fill>
    <fill>
      <patternFill patternType="solid">
        <fgColor rgb="FFC55A11"/>
        <bgColor rgb="FF833C00"/>
      </patternFill>
    </fill>
    <fill>
      <patternFill patternType="solid">
        <fgColor rgb="FF1F7B4D"/>
        <bgColor rgb="FF339966"/>
      </patternFill>
    </fill>
    <fill>
      <patternFill patternType="solid">
        <fgColor rgb="FF7030A0"/>
        <bgColor rgb="FF4A148C"/>
      </patternFill>
    </fill>
    <fill>
      <patternFill patternType="solid">
        <fgColor rgb="FFF0F6FF"/>
        <bgColor rgb="FFEEF5FF"/>
      </patternFill>
    </fill>
    <fill>
      <patternFill patternType="solid">
        <fgColor rgb="FFD0E4FF"/>
        <bgColor rgb="FFDEEAF1"/>
      </patternFill>
    </fill>
    <fill>
      <patternFill patternType="solid">
        <fgColor rgb="FFEAD1F5"/>
        <bgColor rgb="FFEDE0FF"/>
      </patternFill>
    </fill>
    <fill>
      <patternFill patternType="solid">
        <fgColor rgb="FFFFFFFF"/>
        <bgColor rgb="FFFFF9EE"/>
      </patternFill>
    </fill>
    <fill>
      <patternFill patternType="solid">
        <fgColor rgb="FFFFE5CC"/>
        <bgColor rgb="FFFCE4D6"/>
      </patternFill>
    </fill>
    <fill>
      <patternFill patternType="solid">
        <fgColor rgb="FFFCE4D6"/>
        <bgColor rgb="FFFFE5CC"/>
      </patternFill>
    </fill>
    <fill>
      <patternFill patternType="solid">
        <fgColor rgb="FFD6F2EB"/>
        <bgColor rgb="FFDEEAF1"/>
      </patternFill>
    </fill>
    <fill>
      <patternFill patternType="solid">
        <fgColor rgb="FFE4FFE4"/>
        <bgColor rgb="FFEFF8FF"/>
      </patternFill>
    </fill>
    <fill>
      <patternFill patternType="solid">
        <fgColor rgb="FFEDE0FF"/>
        <bgColor rgb="FFEAD1F5"/>
      </patternFill>
    </fill>
    <fill>
      <patternFill patternType="solid">
        <fgColor rgb="FFFFF9CC"/>
        <bgColor rgb="FFFFF2CC"/>
      </patternFill>
    </fill>
    <fill>
      <patternFill patternType="solid">
        <fgColor rgb="FF1F4E79"/>
        <bgColor rgb="FF2F5597"/>
      </patternFill>
    </fill>
    <fill>
      <patternFill patternType="solid">
        <fgColor rgb="FFF5F5F5"/>
        <bgColor rgb="FFFAF6FF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0E4FF"/>
      </patternFill>
    </fill>
    <fill>
      <patternFill patternType="solid">
        <fgColor rgb="FFEEF5FF"/>
        <bgColor rgb="FFF0F6FF"/>
      </patternFill>
    </fill>
    <fill>
      <patternFill patternType="solid">
        <fgColor rgb="FF595959"/>
        <bgColor rgb="FF404040"/>
      </patternFill>
    </fill>
    <fill>
      <patternFill patternType="solid">
        <fgColor rgb="FF156082"/>
        <bgColor rgb="FF1F4E79"/>
      </patternFill>
    </fill>
    <fill>
      <patternFill patternType="solid">
        <fgColor rgb="FFEFF8FF"/>
        <bgColor rgb="FFF0F6FF"/>
      </patternFill>
    </fill>
    <fill>
      <patternFill patternType="solid">
        <fgColor rgb="FF833C00"/>
        <bgColor rgb="FF7B3F00"/>
      </patternFill>
    </fill>
    <fill>
      <patternFill patternType="solid">
        <fgColor rgb="FFFFF9EE"/>
        <bgColor rgb="FFFFF4E6"/>
      </patternFill>
    </fill>
    <fill>
      <patternFill patternType="solid">
        <fgColor rgb="FFFAF6FF"/>
        <bgColor rgb="FFF5F5F5"/>
      </patternFill>
    </fill>
    <fill>
      <patternFill patternType="solid">
        <fgColor rgb="FFFFF4E6"/>
        <bgColor rgb="FFFFF9E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4" fillId="0" borderId="0" applyNumberFormat="0" applyFill="0" applyBorder="0" applyAlignment="0" applyProtection="0"/>
  </cellStyleXfs>
  <cellXfs count="152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left" vertical="center"/>
    </xf>
    <xf numFmtId="0" fontId="38" fillId="22" borderId="1" xfId="0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6" fillId="18" borderId="3" xfId="0" applyFont="1" applyFill="1" applyBorder="1" applyAlignment="1">
      <alignment horizontal="left" vertical="center"/>
    </xf>
    <xf numFmtId="0" fontId="35" fillId="17" borderId="3" xfId="0" applyFont="1" applyFill="1" applyBorder="1" applyAlignment="1">
      <alignment horizontal="left" vertical="center"/>
    </xf>
    <xf numFmtId="0" fontId="34" fillId="16" borderId="3" xfId="0" applyFont="1" applyFill="1" applyBorder="1" applyAlignment="1">
      <alignment horizontal="left" vertical="center"/>
    </xf>
    <xf numFmtId="0" fontId="32" fillId="13" borderId="3" xfId="0" applyFont="1" applyFill="1" applyBorder="1" applyAlignment="1">
      <alignment horizontal="left" vertical="center"/>
    </xf>
    <xf numFmtId="0" fontId="24" fillId="10" borderId="3" xfId="0" applyFont="1" applyFill="1" applyBorder="1" applyAlignment="1">
      <alignment horizontal="left" vertical="center"/>
    </xf>
    <xf numFmtId="0" fontId="21" fillId="19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4" borderId="1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0" fillId="0" borderId="4" xfId="0" applyBorder="1"/>
    <xf numFmtId="0" fontId="22" fillId="3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/>
    </xf>
    <xf numFmtId="0" fontId="27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center" vertical="center"/>
    </xf>
    <xf numFmtId="0" fontId="0" fillId="12" borderId="0" xfId="0" applyFill="1"/>
    <xf numFmtId="0" fontId="29" fillId="11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left" vertical="center"/>
    </xf>
    <xf numFmtId="0" fontId="30" fillId="20" borderId="1" xfId="0" applyFont="1" applyFill="1" applyBorder="1" applyAlignment="1">
      <alignment horizontal="left" vertical="center"/>
    </xf>
    <xf numFmtId="0" fontId="31" fillId="21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left" vertical="center"/>
    </xf>
    <xf numFmtId="0" fontId="33" fillId="15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/>
    </xf>
    <xf numFmtId="0" fontId="29" fillId="14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0" fillId="6" borderId="0" xfId="0" applyFill="1"/>
    <xf numFmtId="0" fontId="0" fillId="3" borderId="1" xfId="0" applyFill="1" applyBorder="1"/>
    <xf numFmtId="0" fontId="12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0" fillId="20" borderId="1" xfId="0" applyFill="1" applyBorder="1"/>
    <xf numFmtId="0" fontId="3" fillId="6" borderId="2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0" fillId="23" borderId="1" xfId="0" applyFill="1" applyBorder="1"/>
    <xf numFmtId="0" fontId="7" fillId="23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 wrapText="1"/>
    </xf>
    <xf numFmtId="0" fontId="29" fillId="2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40" fillId="23" borderId="1" xfId="0" applyFont="1" applyFill="1" applyBorder="1" applyAlignment="1">
      <alignment horizontal="center" vertical="center"/>
    </xf>
    <xf numFmtId="0" fontId="40" fillId="23" borderId="1" xfId="0" applyFont="1" applyFill="1" applyBorder="1" applyAlignment="1">
      <alignment horizontal="left" vertical="center" wrapText="1"/>
    </xf>
    <xf numFmtId="0" fontId="40" fillId="12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0" fillId="7" borderId="0" xfId="0" applyFill="1"/>
    <xf numFmtId="0" fontId="3" fillId="7" borderId="2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2" xfId="0" applyFont="1" applyFill="1" applyBorder="1" applyAlignment="1">
      <alignment horizontal="center" vertical="center" wrapText="1"/>
    </xf>
    <xf numFmtId="0" fontId="0" fillId="24" borderId="0" xfId="0" applyFill="1"/>
    <xf numFmtId="0" fontId="3" fillId="24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41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7" fillId="28" borderId="1" xfId="0" applyFont="1" applyFill="1" applyBorder="1" applyAlignment="1">
      <alignment horizontal="left" vertical="center"/>
    </xf>
    <xf numFmtId="0" fontId="42" fillId="28" borderId="1" xfId="0" applyFont="1" applyFill="1" applyBorder="1" applyAlignment="1">
      <alignment horizontal="right" vertical="center"/>
    </xf>
    <xf numFmtId="0" fontId="0" fillId="28" borderId="1" xfId="0" applyFill="1" applyBorder="1"/>
    <xf numFmtId="0" fontId="0" fillId="27" borderId="0" xfId="0" applyFill="1"/>
    <xf numFmtId="0" fontId="43" fillId="27" borderId="2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/>
    </xf>
    <xf numFmtId="0" fontId="4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0" fontId="45" fillId="11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46" fillId="20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/>
    <xf numFmtId="0" fontId="48" fillId="14" borderId="1" xfId="0" applyFont="1" applyFill="1" applyBorder="1" applyAlignment="1">
      <alignment horizontal="center" vertical="center"/>
    </xf>
    <xf numFmtId="0" fontId="48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/>
    </xf>
    <xf numFmtId="0" fontId="49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/>
    <xf numFmtId="0" fontId="48" fillId="11" borderId="1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25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left" vertical="center" wrapText="1"/>
    </xf>
    <xf numFmtId="0" fontId="50" fillId="14" borderId="1" xfId="0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15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 vertical="center"/>
    </xf>
    <xf numFmtId="0" fontId="52" fillId="11" borderId="1" xfId="0" applyFont="1" applyFill="1" applyBorder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7" fillId="8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39" fillId="4" borderId="1" xfId="0" applyFont="1" applyFill="1" applyBorder="1" applyAlignment="1">
      <alignment horizontal="left" vertical="center"/>
    </xf>
    <xf numFmtId="0" fontId="21" fillId="25" borderId="0" xfId="0" applyFont="1" applyFill="1" applyAlignment="1">
      <alignment horizontal="center" vertical="center"/>
    </xf>
    <xf numFmtId="0" fontId="21" fillId="27" borderId="0" xfId="0" applyFont="1" applyFill="1" applyAlignment="1">
      <alignment horizontal="center" vertical="center"/>
    </xf>
    <xf numFmtId="0" fontId="42" fillId="2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42" fillId="14" borderId="3" xfId="0" applyFont="1" applyFill="1" applyBorder="1" applyAlignment="1">
      <alignment horizontal="center" vertical="center"/>
    </xf>
    <xf numFmtId="0" fontId="53" fillId="30" borderId="1" xfId="0" applyFont="1" applyFill="1" applyBorder="1" applyAlignment="1">
      <alignment horizontal="center" vertical="top"/>
    </xf>
    <xf numFmtId="0" fontId="54" fillId="4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b/>
        <color rgb="FF1F4E79"/>
        <name val="Arial"/>
        <charset val="1"/>
      </font>
      <fill>
        <patternFill>
          <bgColor rgb="FFDEEAF1"/>
        </patternFill>
      </fill>
    </dxf>
    <dxf>
      <font>
        <b/>
        <color rgb="FFC00000"/>
        <name val="Arial"/>
        <charset val="1"/>
      </font>
      <fill>
        <patternFill>
          <bgColor rgb="FFFFE0E0"/>
        </patternFill>
      </fill>
    </dxf>
    <dxf>
      <font>
        <b/>
        <color rgb="FF7B3F00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C00000"/>
        <name val="Arial"/>
        <charset val="1"/>
      </font>
      <fill>
        <patternFill>
          <bgColor rgb="FFFFE0E0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C00000"/>
        <name val="Arial"/>
        <charset val="1"/>
      </font>
      <fill>
        <patternFill>
          <bgColor rgb="FFFFE0E0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FAF6FF"/>
      <rgbColor rgb="FF7B3F00"/>
      <rgbColor rgb="FF1B5E20"/>
      <rgbColor rgb="FF000080"/>
      <rgbColor rgb="FF5D4100"/>
      <rgbColor rgb="FF800080"/>
      <rgbColor rgb="FF1F7B4D"/>
      <rgbColor rgb="FFBFBFBF"/>
      <rgbColor rgb="FFF0F6FF"/>
      <rgbColor rgb="FFD0E4FF"/>
      <rgbColor rgb="FF7030A0"/>
      <rgbColor rgb="FFFFF9CC"/>
      <rgbColor rgb="FFD6F2EB"/>
      <rgbColor rgb="FF4A148C"/>
      <rgbColor rgb="FFF5F5F5"/>
      <rgbColor rgb="FF2F5597"/>
      <rgbColor rgb="FFBDD7EE"/>
      <rgbColor rgb="FF000080"/>
      <rgbColor rgb="FFFF00FF"/>
      <rgbColor rgb="FFFFF4E6"/>
      <rgbColor rgb="FF00FFFF"/>
      <rgbColor rgb="FF800080"/>
      <rgbColor rgb="FF800000"/>
      <rgbColor rgb="FF156082"/>
      <rgbColor rgb="FF0000FF"/>
      <rgbColor rgb="FF00CCFF"/>
      <rgbColor rgb="FFDEEAF1"/>
      <rgbColor rgb="FFE4FFE4"/>
      <rgbColor rgb="FFFFF2CC"/>
      <rgbColor rgb="FFCCCCCC"/>
      <rgbColor rgb="FFFFE0E0"/>
      <rgbColor rgb="FFEAD1F5"/>
      <rgbColor rgb="FFFFE5CC"/>
      <rgbColor rgb="FF3366FF"/>
      <rgbColor rgb="FFEFF8FF"/>
      <rgbColor rgb="FFEEF5FF"/>
      <rgbColor rgb="FFFCE4D6"/>
      <rgbColor rgb="FFFFF9EE"/>
      <rgbColor rgb="FFC55A11"/>
      <rgbColor rgb="FF595959"/>
      <rgbColor rgb="FFEDE0FF"/>
      <rgbColor rgb="FF1F3864"/>
      <rgbColor rgb="FF339966"/>
      <rgbColor rgb="FF375623"/>
      <rgbColor rgb="FF404040"/>
      <rgbColor rgb="FF833C00"/>
      <rgbColor rgb="FF7B3600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45"/>
  <sheetViews>
    <sheetView zoomScaleNormal="100" workbookViewId="0">
      <pane ySplit="7" topLeftCell="A27" activePane="bottomLeft" state="frozen"/>
      <selection pane="bottomLeft" activeCell="D34" sqref="D34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34" customWidth="1"/>
    <col min="4" max="4" width="14" customWidth="1"/>
    <col min="5" max="7" width="22" hidden="1" customWidth="1"/>
    <col min="8" max="8" width="18" customWidth="1"/>
    <col min="9" max="9" width="20" customWidth="1"/>
  </cols>
  <sheetData>
    <row r="1" spans="1:9" ht="6" customHeight="1" x14ac:dyDescent="0.2"/>
    <row r="2" spans="1:9" ht="49.5" customHeight="1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9" ht="6" customHeight="1" x14ac:dyDescent="0.2"/>
    <row r="4" spans="1:9" ht="30" customHeight="1" x14ac:dyDescent="0.2">
      <c r="A4" s="12" t="s">
        <v>1</v>
      </c>
      <c r="B4" s="12"/>
      <c r="C4" s="12"/>
      <c r="D4" s="14"/>
      <c r="E4" s="14"/>
      <c r="F4" s="14"/>
      <c r="G4" s="14"/>
      <c r="H4" s="14"/>
      <c r="I4" s="14"/>
    </row>
    <row r="5" spans="1:9" ht="21.75" customHeight="1" x14ac:dyDescent="0.2"/>
    <row r="6" spans="1:9" ht="39.75" customHeight="1" x14ac:dyDescent="0.2">
      <c r="A6" s="15" t="s">
        <v>2</v>
      </c>
      <c r="B6" s="15" t="s">
        <v>3</v>
      </c>
      <c r="C6" s="15" t="s">
        <v>4</v>
      </c>
      <c r="D6" s="16" t="str">
        <f>HYPERLINK("#'Item ID Details'!A1","Initial Stock  ↗")</f>
        <v>Initial Stock  ↗</v>
      </c>
      <c r="E6" s="17" t="str">
        <f>HYPERLINK("#'North Copenhagen'!A1","North Copenhagen  ↗")</f>
        <v>North Copenhagen  ↗</v>
      </c>
      <c r="F6" s="18" t="str">
        <f>HYPERLINK("#'GVX 03 - Gavle'!A1","GVX 03 - Gavle  ↗")</f>
        <v>GVX 03 - Gavle  ↗</v>
      </c>
      <c r="G6" s="19" t="str">
        <f>HYPERLINK("#'Conapto S4'!A1","Conapto S4  ↗")</f>
        <v>Conapto S4  ↗</v>
      </c>
      <c r="H6" s="15" t="s">
        <v>5</v>
      </c>
      <c r="I6" s="15" t="s">
        <v>6</v>
      </c>
    </row>
    <row r="7" spans="1:9" ht="39.75" customHeight="1" x14ac:dyDescent="0.2">
      <c r="A7" s="20">
        <v>1</v>
      </c>
      <c r="B7" s="21" t="s">
        <v>7</v>
      </c>
      <c r="C7" s="22" t="s">
        <v>8</v>
      </c>
      <c r="D7" s="23">
        <f>HYPERLINK("#'Item ID Details'!A5",1)</f>
        <v>1</v>
      </c>
      <c r="E7" s="24">
        <v>0</v>
      </c>
      <c r="F7" s="24">
        <v>0</v>
      </c>
      <c r="G7" s="25">
        <v>1</v>
      </c>
      <c r="H7" s="26">
        <f t="shared" ref="H7:H41" si="0">D7-E7-F7-G7</f>
        <v>0</v>
      </c>
      <c r="I7" s="27" t="str">
        <f t="shared" ref="I7:I41" si="1">IF(H7&gt;0,"AVAILABLE","NOT AVAILABLE")</f>
        <v>NOT AVAILABLE</v>
      </c>
    </row>
    <row r="8" spans="1:9" ht="19.5" customHeight="1" x14ac:dyDescent="0.2">
      <c r="A8" s="28">
        <v>2</v>
      </c>
      <c r="B8" s="21" t="s">
        <v>7</v>
      </c>
      <c r="C8" s="29" t="s">
        <v>9</v>
      </c>
      <c r="D8" s="23">
        <f>HYPERLINK("#'Item ID Details'!A8",1)</f>
        <v>1</v>
      </c>
      <c r="E8" s="30">
        <v>0</v>
      </c>
      <c r="F8" s="30">
        <v>0</v>
      </c>
      <c r="G8" s="25">
        <v>1</v>
      </c>
      <c r="H8" s="26">
        <f t="shared" si="0"/>
        <v>0</v>
      </c>
      <c r="I8" s="27" t="str">
        <f t="shared" si="1"/>
        <v>NOT AVAILABLE</v>
      </c>
    </row>
    <row r="9" spans="1:9" ht="19.5" customHeight="1" x14ac:dyDescent="0.2">
      <c r="A9" s="20">
        <v>3</v>
      </c>
      <c r="B9" s="21" t="s">
        <v>7</v>
      </c>
      <c r="C9" s="22" t="s">
        <v>10</v>
      </c>
      <c r="D9" s="23">
        <f>HYPERLINK("#'Item ID Details'!A11",0)</f>
        <v>0</v>
      </c>
      <c r="E9" s="24">
        <v>0</v>
      </c>
      <c r="F9" s="24">
        <v>0</v>
      </c>
      <c r="G9" s="24">
        <v>0</v>
      </c>
      <c r="H9" s="26">
        <f t="shared" si="0"/>
        <v>0</v>
      </c>
      <c r="I9" s="27" t="str">
        <f t="shared" si="1"/>
        <v>NOT AVAILABLE</v>
      </c>
    </row>
    <row r="10" spans="1:9" ht="19.5" customHeight="1" x14ac:dyDescent="0.2">
      <c r="A10" s="28">
        <v>4</v>
      </c>
      <c r="B10" s="31" t="s">
        <v>11</v>
      </c>
      <c r="C10" s="29" t="s">
        <v>12</v>
      </c>
      <c r="D10" s="23">
        <f>HYPERLINK("#'Item ID Details'!A14",20)</f>
        <v>20</v>
      </c>
      <c r="E10" s="32">
        <v>5</v>
      </c>
      <c r="F10" s="33">
        <v>11</v>
      </c>
      <c r="G10" s="25">
        <v>4</v>
      </c>
      <c r="H10" s="26">
        <f t="shared" si="0"/>
        <v>0</v>
      </c>
      <c r="I10" s="27" t="str">
        <f t="shared" si="1"/>
        <v>NOT AVAILABLE</v>
      </c>
    </row>
    <row r="11" spans="1:9" ht="19.5" customHeight="1" x14ac:dyDescent="0.2">
      <c r="A11" s="20">
        <v>5</v>
      </c>
      <c r="B11" s="31" t="s">
        <v>11</v>
      </c>
      <c r="C11" s="22" t="s">
        <v>13</v>
      </c>
      <c r="D11" s="23">
        <f>HYPERLINK("#'Item ID Details'!A36",23)</f>
        <v>23</v>
      </c>
      <c r="E11" s="32">
        <v>6</v>
      </c>
      <c r="F11" s="33">
        <v>11</v>
      </c>
      <c r="G11" s="25">
        <v>6</v>
      </c>
      <c r="H11" s="26">
        <f t="shared" si="0"/>
        <v>0</v>
      </c>
      <c r="I11" s="27" t="str">
        <f t="shared" si="1"/>
        <v>NOT AVAILABLE</v>
      </c>
    </row>
    <row r="12" spans="1:9" ht="19.5" customHeight="1" x14ac:dyDescent="0.2">
      <c r="A12" s="28">
        <v>6</v>
      </c>
      <c r="B12" s="31" t="s">
        <v>11</v>
      </c>
      <c r="C12" s="29" t="s">
        <v>14</v>
      </c>
      <c r="D12" s="23">
        <f>HYPERLINK("#'Item ID Details'!A61",1)</f>
        <v>1</v>
      </c>
      <c r="E12" s="30">
        <v>0</v>
      </c>
      <c r="F12" s="30">
        <v>0</v>
      </c>
      <c r="G12" s="25">
        <v>1</v>
      </c>
      <c r="H12" s="26">
        <f t="shared" si="0"/>
        <v>0</v>
      </c>
      <c r="I12" s="27" t="str">
        <f t="shared" si="1"/>
        <v>NOT AVAILABLE</v>
      </c>
    </row>
    <row r="13" spans="1:9" ht="19.5" customHeight="1" x14ac:dyDescent="0.2">
      <c r="A13" s="20">
        <v>7</v>
      </c>
      <c r="B13" s="31" t="s">
        <v>11</v>
      </c>
      <c r="C13" s="22" t="s">
        <v>15</v>
      </c>
      <c r="D13" s="23">
        <f>HYPERLINK("#'Item ID Details'!A64",2)</f>
        <v>2</v>
      </c>
      <c r="E13" s="24">
        <v>0</v>
      </c>
      <c r="F13" s="24">
        <v>0</v>
      </c>
      <c r="G13" s="25">
        <v>2</v>
      </c>
      <c r="H13" s="26">
        <f t="shared" si="0"/>
        <v>0</v>
      </c>
      <c r="I13" s="27" t="str">
        <f t="shared" si="1"/>
        <v>NOT AVAILABLE</v>
      </c>
    </row>
    <row r="14" spans="1:9" ht="19.5" customHeight="1" x14ac:dyDescent="0.2">
      <c r="A14" s="28">
        <v>8</v>
      </c>
      <c r="B14" s="31" t="s">
        <v>11</v>
      </c>
      <c r="C14" s="29" t="s">
        <v>16</v>
      </c>
      <c r="D14" s="23">
        <f>HYPERLINK("#'Item ID Details'!A68",4)</f>
        <v>4</v>
      </c>
      <c r="E14" s="30">
        <v>0</v>
      </c>
      <c r="F14" s="30">
        <v>0</v>
      </c>
      <c r="G14" s="25">
        <v>4</v>
      </c>
      <c r="H14" s="26">
        <f t="shared" si="0"/>
        <v>0</v>
      </c>
      <c r="I14" s="27" t="str">
        <f t="shared" si="1"/>
        <v>NOT AVAILABLE</v>
      </c>
    </row>
    <row r="15" spans="1:9" ht="19.5" customHeight="1" x14ac:dyDescent="0.2">
      <c r="A15" s="20">
        <v>9</v>
      </c>
      <c r="B15" s="31" t="s">
        <v>11</v>
      </c>
      <c r="C15" s="22" t="s">
        <v>17</v>
      </c>
      <c r="D15" s="23">
        <f>HYPERLINK("#'Item ID Details'!A74",8)</f>
        <v>8</v>
      </c>
      <c r="E15" s="32">
        <v>7</v>
      </c>
      <c r="F15" s="24">
        <v>0</v>
      </c>
      <c r="G15" s="25">
        <v>1</v>
      </c>
      <c r="H15" s="26">
        <f t="shared" si="0"/>
        <v>0</v>
      </c>
      <c r="I15" s="27" t="str">
        <f t="shared" si="1"/>
        <v>NOT AVAILABLE</v>
      </c>
    </row>
    <row r="16" spans="1:9" ht="19.5" customHeight="1" x14ac:dyDescent="0.2">
      <c r="A16" s="28">
        <v>10</v>
      </c>
      <c r="B16" s="31" t="s">
        <v>11</v>
      </c>
      <c r="C16" s="29" t="s">
        <v>18</v>
      </c>
      <c r="D16" s="23">
        <f>HYPERLINK("#'Item ID Details'!A78",9)</f>
        <v>9</v>
      </c>
      <c r="E16" s="30">
        <v>0</v>
      </c>
      <c r="F16" s="33">
        <v>1</v>
      </c>
      <c r="G16" s="25">
        <v>8</v>
      </c>
      <c r="H16" s="26">
        <f t="shared" si="0"/>
        <v>0</v>
      </c>
      <c r="I16" s="27" t="str">
        <f t="shared" si="1"/>
        <v>NOT AVAILABLE</v>
      </c>
    </row>
    <row r="17" spans="1:9" ht="19.5" customHeight="1" x14ac:dyDescent="0.2">
      <c r="A17" s="20">
        <v>11</v>
      </c>
      <c r="B17" s="31" t="s">
        <v>11</v>
      </c>
      <c r="C17" s="22" t="s">
        <v>19</v>
      </c>
      <c r="D17" s="23">
        <f>HYPERLINK("#'Item ID Details'!A82",2)</f>
        <v>2</v>
      </c>
      <c r="E17" s="24">
        <v>0</v>
      </c>
      <c r="F17" s="33">
        <v>1</v>
      </c>
      <c r="G17" s="25">
        <v>1</v>
      </c>
      <c r="H17" s="26">
        <f t="shared" si="0"/>
        <v>0</v>
      </c>
      <c r="I17" s="27" t="str">
        <f t="shared" si="1"/>
        <v>NOT AVAILABLE</v>
      </c>
    </row>
    <row r="18" spans="1:9" ht="19.5" customHeight="1" x14ac:dyDescent="0.2">
      <c r="A18" s="28">
        <v>12</v>
      </c>
      <c r="B18" s="31" t="s">
        <v>11</v>
      </c>
      <c r="C18" s="29" t="s">
        <v>20</v>
      </c>
      <c r="D18" s="23">
        <f>HYPERLINK("#'Item ID Details'!A86",8)</f>
        <v>8</v>
      </c>
      <c r="E18" s="30">
        <v>0</v>
      </c>
      <c r="F18" s="30">
        <v>0</v>
      </c>
      <c r="G18" s="25">
        <v>8</v>
      </c>
      <c r="H18" s="26">
        <f t="shared" si="0"/>
        <v>0</v>
      </c>
      <c r="I18" s="27" t="str">
        <f t="shared" si="1"/>
        <v>NOT AVAILABLE</v>
      </c>
    </row>
    <row r="19" spans="1:9" ht="19.5" customHeight="1" x14ac:dyDescent="0.2">
      <c r="A19" s="20">
        <v>13</v>
      </c>
      <c r="B19" s="31" t="s">
        <v>11</v>
      </c>
      <c r="C19" s="22" t="s">
        <v>21</v>
      </c>
      <c r="D19" s="23">
        <f>HYPERLINK("#'Item ID Details'!A89",6)</f>
        <v>6</v>
      </c>
      <c r="E19" s="32">
        <v>3</v>
      </c>
      <c r="F19" s="24">
        <v>0</v>
      </c>
      <c r="G19" s="25">
        <v>3</v>
      </c>
      <c r="H19" s="26">
        <f t="shared" si="0"/>
        <v>0</v>
      </c>
      <c r="I19" s="27" t="str">
        <f t="shared" si="1"/>
        <v>NOT AVAILABLE</v>
      </c>
    </row>
    <row r="20" spans="1:9" ht="19.5" customHeight="1" x14ac:dyDescent="0.2">
      <c r="A20" s="28">
        <v>14</v>
      </c>
      <c r="B20" s="34" t="s">
        <v>22</v>
      </c>
      <c r="C20" s="29" t="s">
        <v>23</v>
      </c>
      <c r="D20" s="23">
        <f>HYPERLINK("#'Item ID Details'!A93",0)</f>
        <v>0</v>
      </c>
      <c r="E20" s="30">
        <v>0</v>
      </c>
      <c r="F20" s="30">
        <v>0</v>
      </c>
      <c r="G20" s="30">
        <v>0</v>
      </c>
      <c r="H20" s="26">
        <f t="shared" si="0"/>
        <v>0</v>
      </c>
      <c r="I20" s="27" t="str">
        <f t="shared" si="1"/>
        <v>NOT AVAILABLE</v>
      </c>
    </row>
    <row r="21" spans="1:9" ht="19.5" customHeight="1" x14ac:dyDescent="0.2">
      <c r="A21" s="20">
        <v>15</v>
      </c>
      <c r="B21" s="34" t="s">
        <v>22</v>
      </c>
      <c r="C21" s="22" t="s">
        <v>24</v>
      </c>
      <c r="D21" s="23">
        <f>HYPERLINK("#'Item ID Details'!A96",0)</f>
        <v>0</v>
      </c>
      <c r="E21" s="24">
        <v>0</v>
      </c>
      <c r="F21" s="24">
        <v>0</v>
      </c>
      <c r="G21" s="24">
        <v>0</v>
      </c>
      <c r="H21" s="26">
        <f t="shared" si="0"/>
        <v>0</v>
      </c>
      <c r="I21" s="27" t="str">
        <f t="shared" si="1"/>
        <v>NOT AVAILABLE</v>
      </c>
    </row>
    <row r="22" spans="1:9" ht="19.5" customHeight="1" x14ac:dyDescent="0.2">
      <c r="A22" s="28">
        <v>16</v>
      </c>
      <c r="B22" s="34" t="s">
        <v>22</v>
      </c>
      <c r="C22" s="29" t="s">
        <v>25</v>
      </c>
      <c r="D22" s="23">
        <f>HYPERLINK("#'Item ID Details'!A99",0)</f>
        <v>0</v>
      </c>
      <c r="E22" s="30">
        <v>0</v>
      </c>
      <c r="F22" s="30">
        <v>0</v>
      </c>
      <c r="G22" s="30">
        <v>0</v>
      </c>
      <c r="H22" s="26">
        <f t="shared" si="0"/>
        <v>0</v>
      </c>
      <c r="I22" s="27" t="str">
        <f t="shared" si="1"/>
        <v>NOT AVAILABLE</v>
      </c>
    </row>
    <row r="23" spans="1:9" ht="19.5" customHeight="1" x14ac:dyDescent="0.2">
      <c r="A23" s="20">
        <v>17</v>
      </c>
      <c r="B23" s="34" t="s">
        <v>22</v>
      </c>
      <c r="C23" s="22" t="s">
        <v>26</v>
      </c>
      <c r="D23" s="23">
        <f>HYPERLINK("#'Item ID Details'!A102",4)</f>
        <v>4</v>
      </c>
      <c r="E23" s="32">
        <v>2</v>
      </c>
      <c r="F23" s="24">
        <v>0</v>
      </c>
      <c r="G23" s="25">
        <v>2</v>
      </c>
      <c r="H23" s="26">
        <f t="shared" si="0"/>
        <v>0</v>
      </c>
      <c r="I23" s="27" t="str">
        <f t="shared" si="1"/>
        <v>NOT AVAILABLE</v>
      </c>
    </row>
    <row r="24" spans="1:9" ht="19.5" customHeight="1" x14ac:dyDescent="0.2">
      <c r="A24" s="28">
        <v>18</v>
      </c>
      <c r="B24" s="34" t="s">
        <v>22</v>
      </c>
      <c r="C24" s="29" t="s">
        <v>27</v>
      </c>
      <c r="D24" s="23">
        <f>HYPERLINK("#'Item ID Details'!A108",0)</f>
        <v>0</v>
      </c>
      <c r="E24" s="30">
        <v>0</v>
      </c>
      <c r="F24" s="30">
        <v>0</v>
      </c>
      <c r="G24" s="30">
        <v>0</v>
      </c>
      <c r="H24" s="26">
        <f t="shared" si="0"/>
        <v>0</v>
      </c>
      <c r="I24" s="27" t="str">
        <f t="shared" si="1"/>
        <v>NOT AVAILABLE</v>
      </c>
    </row>
    <row r="25" spans="1:9" ht="19.5" customHeight="1" x14ac:dyDescent="0.2">
      <c r="A25" s="20">
        <v>19</v>
      </c>
      <c r="B25" s="34" t="s">
        <v>22</v>
      </c>
      <c r="C25" s="22" t="s">
        <v>28</v>
      </c>
      <c r="D25" s="23">
        <f>HYPERLINK("#'Item ID Details'!A111",0)</f>
        <v>0</v>
      </c>
      <c r="E25" s="24">
        <v>0</v>
      </c>
      <c r="F25" s="24">
        <v>0</v>
      </c>
      <c r="G25" s="24">
        <v>0</v>
      </c>
      <c r="H25" s="26">
        <f t="shared" si="0"/>
        <v>0</v>
      </c>
      <c r="I25" s="27" t="str">
        <f t="shared" si="1"/>
        <v>NOT AVAILABLE</v>
      </c>
    </row>
    <row r="26" spans="1:9" ht="19.5" customHeight="1" x14ac:dyDescent="0.2">
      <c r="A26" s="28">
        <v>20</v>
      </c>
      <c r="B26" s="34" t="s">
        <v>22</v>
      </c>
      <c r="C26" s="29" t="s">
        <v>29</v>
      </c>
      <c r="D26" s="23">
        <f>HYPERLINK("#'Item ID Details'!A114",1)</f>
        <v>1</v>
      </c>
      <c r="E26" s="30">
        <v>0</v>
      </c>
      <c r="F26" s="33">
        <v>1</v>
      </c>
      <c r="G26" s="30">
        <v>0</v>
      </c>
      <c r="H26" s="26">
        <f t="shared" si="0"/>
        <v>0</v>
      </c>
      <c r="I26" s="27" t="str">
        <f t="shared" si="1"/>
        <v>NOT AVAILABLE</v>
      </c>
    </row>
    <row r="27" spans="1:9" ht="19.5" customHeight="1" x14ac:dyDescent="0.2">
      <c r="A27" s="20">
        <v>21</v>
      </c>
      <c r="B27" s="34" t="s">
        <v>22</v>
      </c>
      <c r="C27" s="22" t="s">
        <v>30</v>
      </c>
      <c r="D27" s="23">
        <f>HYPERLINK("#'Item ID Details'!A117",1)</f>
        <v>1</v>
      </c>
      <c r="E27" s="24">
        <v>0</v>
      </c>
      <c r="F27" s="33">
        <v>1</v>
      </c>
      <c r="G27" s="24">
        <v>0</v>
      </c>
      <c r="H27" s="26">
        <f t="shared" si="0"/>
        <v>0</v>
      </c>
      <c r="I27" s="27" t="str">
        <f t="shared" si="1"/>
        <v>NOT AVAILABLE</v>
      </c>
    </row>
    <row r="28" spans="1:9" ht="19.5" customHeight="1" x14ac:dyDescent="0.2">
      <c r="A28" s="28">
        <v>22</v>
      </c>
      <c r="B28" s="34" t="s">
        <v>22</v>
      </c>
      <c r="C28" s="29" t="s">
        <v>31</v>
      </c>
      <c r="D28" s="23">
        <f>HYPERLINK("#'Item ID Details'!A120",17)</f>
        <v>17</v>
      </c>
      <c r="E28" s="32">
        <v>3</v>
      </c>
      <c r="F28" s="33">
        <v>7</v>
      </c>
      <c r="G28" s="25">
        <v>7</v>
      </c>
      <c r="H28" s="26">
        <f t="shared" si="0"/>
        <v>0</v>
      </c>
      <c r="I28" s="27" t="str">
        <f t="shared" si="1"/>
        <v>NOT AVAILABLE</v>
      </c>
    </row>
    <row r="29" spans="1:9" ht="19.5" customHeight="1" x14ac:dyDescent="0.2">
      <c r="A29" s="20">
        <v>23</v>
      </c>
      <c r="B29" s="34" t="s">
        <v>22</v>
      </c>
      <c r="C29" s="22" t="s">
        <v>32</v>
      </c>
      <c r="D29" s="23">
        <f>HYPERLINK("#'Item ID Details'!A125",0)</f>
        <v>0</v>
      </c>
      <c r="E29" s="24">
        <v>0</v>
      </c>
      <c r="F29" s="24">
        <v>0</v>
      </c>
      <c r="G29" s="24">
        <v>0</v>
      </c>
      <c r="H29" s="26">
        <f t="shared" si="0"/>
        <v>0</v>
      </c>
      <c r="I29" s="27" t="str">
        <f t="shared" si="1"/>
        <v>NOT AVAILABLE</v>
      </c>
    </row>
    <row r="30" spans="1:9" ht="19.5" customHeight="1" x14ac:dyDescent="0.2">
      <c r="A30" s="28">
        <v>24</v>
      </c>
      <c r="B30" s="34" t="s">
        <v>22</v>
      </c>
      <c r="C30" s="29" t="s">
        <v>33</v>
      </c>
      <c r="D30" s="23">
        <f>HYPERLINK("#'Item ID Details'!A128",0)</f>
        <v>0</v>
      </c>
      <c r="E30" s="30">
        <v>0</v>
      </c>
      <c r="F30" s="30">
        <v>0</v>
      </c>
      <c r="G30" s="30">
        <v>0</v>
      </c>
      <c r="H30" s="26">
        <f t="shared" si="0"/>
        <v>0</v>
      </c>
      <c r="I30" s="27" t="str">
        <f t="shared" si="1"/>
        <v>NOT AVAILABLE</v>
      </c>
    </row>
    <row r="31" spans="1:9" ht="19.5" customHeight="1" x14ac:dyDescent="0.2">
      <c r="A31" s="20">
        <v>25</v>
      </c>
      <c r="B31" s="34" t="s">
        <v>22</v>
      </c>
      <c r="C31" s="22" t="s">
        <v>34</v>
      </c>
      <c r="D31" s="23">
        <f>HYPERLINK("#'Item ID Details'!A131",0)</f>
        <v>0</v>
      </c>
      <c r="E31" s="24">
        <v>0</v>
      </c>
      <c r="F31" s="24">
        <v>0</v>
      </c>
      <c r="G31" s="24">
        <v>0</v>
      </c>
      <c r="H31" s="26">
        <f t="shared" si="0"/>
        <v>0</v>
      </c>
      <c r="I31" s="27" t="str">
        <f t="shared" si="1"/>
        <v>NOT AVAILABLE</v>
      </c>
    </row>
    <row r="32" spans="1:9" ht="19.5" customHeight="1" x14ac:dyDescent="0.2">
      <c r="A32" s="28">
        <v>26</v>
      </c>
      <c r="B32" s="35" t="s">
        <v>35</v>
      </c>
      <c r="C32" s="29" t="s">
        <v>36</v>
      </c>
      <c r="D32" s="23">
        <f>HYPERLINK("#'Item ID Details'!A134",1)</f>
        <v>1</v>
      </c>
      <c r="E32" s="30">
        <v>0</v>
      </c>
      <c r="F32" s="30">
        <v>0</v>
      </c>
      <c r="G32" s="25">
        <v>1</v>
      </c>
      <c r="H32" s="26">
        <f t="shared" si="0"/>
        <v>0</v>
      </c>
      <c r="I32" s="27" t="str">
        <f t="shared" si="1"/>
        <v>NOT AVAILABLE</v>
      </c>
    </row>
    <row r="33" spans="1:9" ht="19.5" customHeight="1" x14ac:dyDescent="0.2">
      <c r="A33" s="20">
        <v>27</v>
      </c>
      <c r="B33" s="35" t="s">
        <v>35</v>
      </c>
      <c r="C33" s="22" t="s">
        <v>37</v>
      </c>
      <c r="D33" s="151">
        <f>HYPERLINK("#'Item ID Details'!A137",1)</f>
        <v>1</v>
      </c>
      <c r="E33" s="24">
        <v>0</v>
      </c>
      <c r="F33" s="24">
        <v>0</v>
      </c>
      <c r="G33" s="24">
        <v>0</v>
      </c>
      <c r="H33" s="26">
        <f t="shared" si="0"/>
        <v>1</v>
      </c>
      <c r="I33" s="27" t="str">
        <f t="shared" si="1"/>
        <v>AVAILABLE</v>
      </c>
    </row>
    <row r="34" spans="1:9" ht="19.5" customHeight="1" x14ac:dyDescent="0.2">
      <c r="A34" s="28">
        <v>28</v>
      </c>
      <c r="B34" s="35" t="s">
        <v>35</v>
      </c>
      <c r="C34" s="29" t="s">
        <v>38</v>
      </c>
      <c r="D34" s="23">
        <f>HYPERLINK("#'Item ID Details'!A140",1)</f>
        <v>1</v>
      </c>
      <c r="E34" s="30">
        <v>0</v>
      </c>
      <c r="F34" s="30">
        <v>0</v>
      </c>
      <c r="G34" s="25">
        <v>1</v>
      </c>
      <c r="H34" s="26">
        <f t="shared" si="0"/>
        <v>0</v>
      </c>
      <c r="I34" s="27" t="str">
        <f t="shared" si="1"/>
        <v>NOT AVAILABLE</v>
      </c>
    </row>
    <row r="35" spans="1:9" ht="19.5" customHeight="1" x14ac:dyDescent="0.2">
      <c r="A35" s="20">
        <v>29</v>
      </c>
      <c r="B35" s="35" t="s">
        <v>35</v>
      </c>
      <c r="C35" s="22" t="s">
        <v>39</v>
      </c>
      <c r="D35" s="23">
        <f>HYPERLINK("#'Item ID Details'!A143",1)</f>
        <v>1</v>
      </c>
      <c r="E35" s="24">
        <v>0</v>
      </c>
      <c r="F35" s="24">
        <v>0</v>
      </c>
      <c r="G35" s="25">
        <v>1</v>
      </c>
      <c r="H35" s="26">
        <f t="shared" si="0"/>
        <v>0</v>
      </c>
      <c r="I35" s="27" t="str">
        <f t="shared" si="1"/>
        <v>NOT AVAILABLE</v>
      </c>
    </row>
    <row r="36" spans="1:9" ht="19.5" customHeight="1" x14ac:dyDescent="0.2">
      <c r="A36" s="28">
        <v>30</v>
      </c>
      <c r="B36" s="35" t="s">
        <v>35</v>
      </c>
      <c r="C36" s="29" t="s">
        <v>40</v>
      </c>
      <c r="D36" s="23">
        <f>HYPERLINK("#'Item ID Details'!A146",4)</f>
        <v>4</v>
      </c>
      <c r="E36" s="30">
        <v>0</v>
      </c>
      <c r="F36" s="30">
        <v>0</v>
      </c>
      <c r="G36" s="25">
        <v>4</v>
      </c>
      <c r="H36" s="26">
        <f t="shared" si="0"/>
        <v>0</v>
      </c>
      <c r="I36" s="27" t="str">
        <f t="shared" si="1"/>
        <v>NOT AVAILABLE</v>
      </c>
    </row>
    <row r="37" spans="1:9" ht="19.5" customHeight="1" x14ac:dyDescent="0.2">
      <c r="A37" s="20">
        <v>31</v>
      </c>
      <c r="B37" s="35" t="s">
        <v>35</v>
      </c>
      <c r="C37" s="22" t="s">
        <v>41</v>
      </c>
      <c r="D37" s="23">
        <f>HYPERLINK("#'Item ID Details'!A152",2)</f>
        <v>2</v>
      </c>
      <c r="E37" s="24">
        <v>0</v>
      </c>
      <c r="F37" s="24">
        <v>0</v>
      </c>
      <c r="G37" s="25">
        <v>2</v>
      </c>
      <c r="H37" s="26">
        <f t="shared" si="0"/>
        <v>0</v>
      </c>
      <c r="I37" s="27" t="str">
        <f t="shared" si="1"/>
        <v>NOT AVAILABLE</v>
      </c>
    </row>
    <row r="38" spans="1:9" ht="19.5" customHeight="1" x14ac:dyDescent="0.2">
      <c r="A38" s="28">
        <v>32</v>
      </c>
      <c r="B38" s="35" t="s">
        <v>35</v>
      </c>
      <c r="C38" s="29" t="s">
        <v>42</v>
      </c>
      <c r="D38" s="23">
        <f>HYPERLINK("#'Item ID Details'!A156",3)</f>
        <v>3</v>
      </c>
      <c r="E38" s="30">
        <v>0</v>
      </c>
      <c r="F38" s="30">
        <v>0</v>
      </c>
      <c r="G38" s="25">
        <v>3</v>
      </c>
      <c r="H38" s="26">
        <f t="shared" si="0"/>
        <v>0</v>
      </c>
      <c r="I38" s="27" t="str">
        <f t="shared" si="1"/>
        <v>NOT AVAILABLE</v>
      </c>
    </row>
    <row r="39" spans="1:9" ht="19.5" customHeight="1" x14ac:dyDescent="0.2">
      <c r="A39" s="20">
        <v>33</v>
      </c>
      <c r="B39" s="36" t="s">
        <v>43</v>
      </c>
      <c r="C39" s="22" t="s">
        <v>44</v>
      </c>
      <c r="D39" s="23">
        <f>HYPERLINK("#'Item ID Details'!A159",2)</f>
        <v>2</v>
      </c>
      <c r="E39" s="24">
        <v>0</v>
      </c>
      <c r="F39" s="24">
        <v>0</v>
      </c>
      <c r="G39" s="25">
        <v>2</v>
      </c>
      <c r="H39" s="26">
        <f t="shared" si="0"/>
        <v>0</v>
      </c>
      <c r="I39" s="27" t="str">
        <f t="shared" si="1"/>
        <v>NOT AVAILABLE</v>
      </c>
    </row>
    <row r="40" spans="1:9" ht="19.5" customHeight="1" x14ac:dyDescent="0.2">
      <c r="A40" s="28">
        <v>34</v>
      </c>
      <c r="B40" s="36" t="s">
        <v>43</v>
      </c>
      <c r="C40" s="29" t="s">
        <v>45</v>
      </c>
      <c r="D40" s="23">
        <f>HYPERLINK("#'Item ID Details'!A163",2)</f>
        <v>2</v>
      </c>
      <c r="E40" s="30">
        <v>0</v>
      </c>
      <c r="F40" s="30">
        <v>0</v>
      </c>
      <c r="G40" s="25">
        <v>2</v>
      </c>
      <c r="H40" s="26">
        <f t="shared" si="0"/>
        <v>0</v>
      </c>
      <c r="I40" s="27" t="str">
        <f t="shared" si="1"/>
        <v>NOT AVAILABLE</v>
      </c>
    </row>
    <row r="41" spans="1:9" ht="19.5" customHeight="1" x14ac:dyDescent="0.2">
      <c r="A41" s="20">
        <v>35</v>
      </c>
      <c r="B41" s="36" t="s">
        <v>43</v>
      </c>
      <c r="C41" s="22" t="s">
        <v>46</v>
      </c>
      <c r="D41" s="23">
        <f>HYPERLINK("#'Item ID Details'!A167",0)</f>
        <v>0</v>
      </c>
      <c r="E41" s="24">
        <v>0</v>
      </c>
      <c r="F41" s="24">
        <v>0</v>
      </c>
      <c r="G41" s="24">
        <v>0</v>
      </c>
      <c r="H41" s="26">
        <f t="shared" si="0"/>
        <v>0</v>
      </c>
      <c r="I41" s="27" t="str">
        <f t="shared" si="1"/>
        <v>NOT AVAILABLE</v>
      </c>
    </row>
    <row r="42" spans="1:9" ht="19.5" customHeight="1" x14ac:dyDescent="0.2">
      <c r="A42" s="37"/>
      <c r="B42" s="38"/>
      <c r="C42" s="39" t="s">
        <v>47</v>
      </c>
      <c r="D42" s="40">
        <v>124</v>
      </c>
      <c r="E42" s="40">
        <f>SUM(E7:E41)</f>
        <v>26</v>
      </c>
      <c r="F42" s="40">
        <f>SUM(F7:F41)</f>
        <v>33</v>
      </c>
      <c r="G42" s="40">
        <f>SUM(G7:G41)</f>
        <v>65</v>
      </c>
      <c r="H42" s="40">
        <f>SUM(H7:H41)</f>
        <v>1</v>
      </c>
      <c r="I42" s="38"/>
    </row>
    <row r="43" spans="1:9" ht="27.75" customHeight="1" x14ac:dyDescent="0.2"/>
    <row r="44" spans="1:9" ht="15" customHeight="1" x14ac:dyDescent="0.2">
      <c r="A44" s="41" t="s">
        <v>48</v>
      </c>
      <c r="B44" s="42"/>
      <c r="C44" s="42"/>
      <c r="D44" s="42"/>
      <c r="E44" s="42"/>
      <c r="F44" s="42"/>
      <c r="G44" s="42"/>
      <c r="H44" s="42"/>
      <c r="I44" s="42"/>
    </row>
    <row r="45" spans="1:9" ht="21.7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</row>
  </sheetData>
  <mergeCells count="3">
    <mergeCell ref="A2:I2"/>
    <mergeCell ref="A4:C4"/>
    <mergeCell ref="A45:I45"/>
  </mergeCells>
  <conditionalFormatting sqref="H7:H41">
    <cfRule type="expression" dxfId="7" priority="2">
      <formula>H7&gt;0</formula>
    </cfRule>
    <cfRule type="expression" dxfId="6" priority="3">
      <formula>H7&lt;=0</formula>
    </cfRule>
  </conditionalFormatting>
  <conditionalFormatting sqref="I7:I41">
    <cfRule type="expression" dxfId="5" priority="4">
      <formula>H7&gt;0</formula>
    </cfRule>
    <cfRule type="expression" dxfId="4" priority="5">
      <formula>H7&lt;=0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H169"/>
  <sheetViews>
    <sheetView zoomScaleNormal="100" workbookViewId="0">
      <pane ySplit="4" topLeftCell="A153" activePane="bottomLeft" state="frozen"/>
      <selection pane="bottomLeft" activeCell="J135" sqref="J135"/>
    </sheetView>
  </sheetViews>
  <sheetFormatPr baseColWidth="10" defaultColWidth="8.6640625" defaultRowHeight="15" x14ac:dyDescent="0.2"/>
  <cols>
    <col min="1" max="1" width="6" customWidth="1"/>
    <col min="2" max="2" width="8" customWidth="1"/>
    <col min="3" max="3" width="30" customWidth="1"/>
    <col min="4" max="5" width="24" customWidth="1"/>
    <col min="6" max="6" width="16" customWidth="1"/>
    <col min="7" max="7" width="30" customWidth="1"/>
    <col min="8" max="8" width="20" customWidth="1"/>
  </cols>
  <sheetData>
    <row r="1" spans="1:8" ht="45" customHeight="1" x14ac:dyDescent="0.2">
      <c r="A1" s="10" t="s">
        <v>49</v>
      </c>
      <c r="B1" s="10"/>
      <c r="C1" s="10"/>
      <c r="D1" s="10"/>
      <c r="E1" s="10"/>
      <c r="F1" s="10"/>
      <c r="G1" s="10"/>
      <c r="H1" s="10"/>
    </row>
    <row r="2" spans="1:8" ht="24" customHeight="1" x14ac:dyDescent="0.2">
      <c r="A2" s="43" t="str">
        <f>HYPERLINK("#'Main Inventory'!A1","&lt;&lt; Back to Main Inventory")</f>
        <v>&lt;&lt; Back to Main Inventory</v>
      </c>
      <c r="B2" s="44" t="s">
        <v>50</v>
      </c>
      <c r="C2" s="14"/>
      <c r="D2" s="14"/>
      <c r="E2" s="14"/>
      <c r="F2" s="14"/>
      <c r="G2" s="14"/>
      <c r="H2" s="14"/>
    </row>
    <row r="3" spans="1:8" ht="7.5" customHeight="1" x14ac:dyDescent="0.2"/>
    <row r="4" spans="1:8" ht="31.5" customHeight="1" x14ac:dyDescent="0.2">
      <c r="A4" s="45" t="s">
        <v>51</v>
      </c>
      <c r="B4" s="45" t="s">
        <v>52</v>
      </c>
      <c r="C4" s="45" t="s">
        <v>4</v>
      </c>
      <c r="D4" s="45" t="s">
        <v>53</v>
      </c>
      <c r="E4" s="45" t="s">
        <v>54</v>
      </c>
      <c r="F4" s="45" t="s">
        <v>55</v>
      </c>
      <c r="G4" s="45" t="s">
        <v>56</v>
      </c>
      <c r="H4" s="45" t="s">
        <v>6</v>
      </c>
    </row>
    <row r="5" spans="1:8" ht="21.75" customHeight="1" x14ac:dyDescent="0.2">
      <c r="A5" s="9" t="s">
        <v>57</v>
      </c>
      <c r="B5" s="9"/>
      <c r="C5" s="9"/>
      <c r="D5" s="9"/>
      <c r="E5" s="9"/>
      <c r="F5" s="9"/>
      <c r="G5" s="9"/>
      <c r="H5" s="9"/>
    </row>
    <row r="6" spans="1:8" ht="18" customHeight="1" x14ac:dyDescent="0.2">
      <c r="A6" s="46">
        <v>1</v>
      </c>
      <c r="B6" s="47">
        <v>1</v>
      </c>
      <c r="C6" s="48" t="s">
        <v>8</v>
      </c>
      <c r="D6" s="49" t="s">
        <v>58</v>
      </c>
      <c r="E6" s="49" t="s">
        <v>59</v>
      </c>
      <c r="F6" s="46" t="s">
        <v>60</v>
      </c>
      <c r="G6" s="50" t="s">
        <v>61</v>
      </c>
      <c r="H6" s="51" t="s">
        <v>62</v>
      </c>
    </row>
    <row r="7" spans="1:8" ht="6" customHeight="1" x14ac:dyDescent="0.2">
      <c r="A7" s="52"/>
      <c r="B7" s="52"/>
      <c r="C7" s="52"/>
      <c r="D7" s="52"/>
      <c r="E7" s="52"/>
      <c r="F7" s="52"/>
      <c r="G7" s="52"/>
      <c r="H7" s="52"/>
    </row>
    <row r="8" spans="1:8" ht="21.75" customHeight="1" x14ac:dyDescent="0.2">
      <c r="A8" s="9" t="s">
        <v>63</v>
      </c>
      <c r="B8" s="9"/>
      <c r="C8" s="9"/>
      <c r="D8" s="9"/>
      <c r="E8" s="9"/>
      <c r="F8" s="9"/>
      <c r="G8" s="9"/>
      <c r="H8" s="9"/>
    </row>
    <row r="9" spans="1:8" ht="18" customHeight="1" x14ac:dyDescent="0.2">
      <c r="A9" s="46">
        <v>2</v>
      </c>
      <c r="B9" s="47">
        <v>2</v>
      </c>
      <c r="C9" s="48" t="s">
        <v>9</v>
      </c>
      <c r="D9" s="49" t="s">
        <v>58</v>
      </c>
      <c r="E9" s="53" t="s">
        <v>64</v>
      </c>
      <c r="F9" s="46" t="s">
        <v>60</v>
      </c>
      <c r="G9" s="50"/>
      <c r="H9" s="51" t="s">
        <v>62</v>
      </c>
    </row>
    <row r="10" spans="1:8" ht="6" customHeight="1" x14ac:dyDescent="0.2">
      <c r="A10" s="52"/>
      <c r="B10" s="52"/>
      <c r="C10" s="52"/>
      <c r="D10" s="52"/>
      <c r="E10" s="52"/>
      <c r="F10" s="52"/>
      <c r="G10" s="52"/>
      <c r="H10" s="52"/>
    </row>
    <row r="11" spans="1:8" ht="21.75" customHeight="1" x14ac:dyDescent="0.2">
      <c r="A11" s="9" t="s">
        <v>65</v>
      </c>
      <c r="B11" s="9"/>
      <c r="C11" s="9"/>
      <c r="D11" s="9"/>
      <c r="E11" s="9"/>
      <c r="F11" s="9"/>
      <c r="G11" s="9"/>
      <c r="H11" s="9"/>
    </row>
    <row r="12" spans="1:8" ht="18" customHeight="1" x14ac:dyDescent="0.2">
      <c r="A12" s="54" t="s">
        <v>66</v>
      </c>
      <c r="B12" s="54">
        <v>3</v>
      </c>
      <c r="C12" s="55" t="s">
        <v>10</v>
      </c>
      <c r="D12" s="56" t="s">
        <v>67</v>
      </c>
      <c r="E12" s="54" t="s">
        <v>66</v>
      </c>
      <c r="F12" s="54" t="s">
        <v>66</v>
      </c>
      <c r="G12" s="55" t="s">
        <v>66</v>
      </c>
      <c r="H12" s="57" t="s">
        <v>68</v>
      </c>
    </row>
    <row r="13" spans="1:8" ht="6" customHeight="1" x14ac:dyDescent="0.2">
      <c r="A13" s="52"/>
      <c r="B13" s="52"/>
      <c r="C13" s="52"/>
      <c r="D13" s="52"/>
      <c r="E13" s="52"/>
      <c r="F13" s="52"/>
      <c r="G13" s="52"/>
      <c r="H13" s="52"/>
    </row>
    <row r="14" spans="1:8" ht="21.75" customHeight="1" x14ac:dyDescent="0.2">
      <c r="A14" s="8" t="s">
        <v>69</v>
      </c>
      <c r="B14" s="8"/>
      <c r="C14" s="8"/>
      <c r="D14" s="8"/>
      <c r="E14" s="8"/>
      <c r="F14" s="8"/>
      <c r="G14" s="8"/>
      <c r="H14" s="8"/>
    </row>
    <row r="15" spans="1:8" ht="18" customHeight="1" x14ac:dyDescent="0.2">
      <c r="A15" s="58">
        <v>3</v>
      </c>
      <c r="B15" s="59">
        <v>4</v>
      </c>
      <c r="C15" s="60" t="s">
        <v>12</v>
      </c>
      <c r="D15" s="51" t="s">
        <v>70</v>
      </c>
      <c r="E15" s="51" t="s">
        <v>71</v>
      </c>
      <c r="F15" s="58" t="s">
        <v>72</v>
      </c>
      <c r="G15" s="61" t="s">
        <v>73</v>
      </c>
      <c r="H15" s="51" t="s">
        <v>62</v>
      </c>
    </row>
    <row r="16" spans="1:8" ht="18" customHeight="1" x14ac:dyDescent="0.2">
      <c r="A16" s="58">
        <v>4</v>
      </c>
      <c r="B16" s="59">
        <v>4</v>
      </c>
      <c r="C16" s="60" t="s">
        <v>12</v>
      </c>
      <c r="D16" s="51" t="s">
        <v>70</v>
      </c>
      <c r="E16" s="51" t="s">
        <v>74</v>
      </c>
      <c r="F16" s="58" t="s">
        <v>72</v>
      </c>
      <c r="G16" s="61" t="s">
        <v>73</v>
      </c>
      <c r="H16" s="51" t="s">
        <v>62</v>
      </c>
    </row>
    <row r="17" spans="1:8" ht="18" customHeight="1" x14ac:dyDescent="0.2">
      <c r="A17" s="58">
        <v>5</v>
      </c>
      <c r="B17" s="59">
        <v>4</v>
      </c>
      <c r="C17" s="60" t="s">
        <v>12</v>
      </c>
      <c r="D17" s="51" t="s">
        <v>70</v>
      </c>
      <c r="E17" s="51" t="s">
        <v>75</v>
      </c>
      <c r="F17" s="58" t="s">
        <v>72</v>
      </c>
      <c r="G17" s="61" t="s">
        <v>73</v>
      </c>
      <c r="H17" s="51" t="s">
        <v>62</v>
      </c>
    </row>
    <row r="18" spans="1:8" ht="18" customHeight="1" x14ac:dyDescent="0.2">
      <c r="A18" s="58">
        <v>6</v>
      </c>
      <c r="B18" s="59">
        <v>4</v>
      </c>
      <c r="C18" s="60" t="s">
        <v>12</v>
      </c>
      <c r="D18" s="51" t="s">
        <v>70</v>
      </c>
      <c r="E18" s="51" t="s">
        <v>76</v>
      </c>
      <c r="F18" s="58" t="s">
        <v>72</v>
      </c>
      <c r="G18" s="61" t="s">
        <v>77</v>
      </c>
      <c r="H18" s="51" t="s">
        <v>62</v>
      </c>
    </row>
    <row r="19" spans="1:8" ht="18" customHeight="1" x14ac:dyDescent="0.2">
      <c r="A19" s="58">
        <v>7</v>
      </c>
      <c r="B19" s="59">
        <v>4</v>
      </c>
      <c r="C19" s="60" t="s">
        <v>12</v>
      </c>
      <c r="D19" s="51" t="s">
        <v>70</v>
      </c>
      <c r="E19" s="51" t="s">
        <v>78</v>
      </c>
      <c r="F19" s="58" t="s">
        <v>72</v>
      </c>
      <c r="G19" s="61" t="s">
        <v>77</v>
      </c>
      <c r="H19" s="51" t="s">
        <v>62</v>
      </c>
    </row>
    <row r="20" spans="1:8" ht="18" customHeight="1" x14ac:dyDescent="0.2">
      <c r="A20" s="62">
        <v>8</v>
      </c>
      <c r="B20" s="63">
        <v>4</v>
      </c>
      <c r="C20" s="64" t="s">
        <v>12</v>
      </c>
      <c r="D20" s="65" t="s">
        <v>79</v>
      </c>
      <c r="E20" s="65" t="s">
        <v>80</v>
      </c>
      <c r="F20" s="62"/>
      <c r="G20" s="66"/>
      <c r="H20" s="51" t="s">
        <v>62</v>
      </c>
    </row>
    <row r="21" spans="1:8" ht="18" customHeight="1" x14ac:dyDescent="0.2">
      <c r="A21" s="62">
        <v>9</v>
      </c>
      <c r="B21" s="63">
        <v>4</v>
      </c>
      <c r="C21" s="64" t="s">
        <v>12</v>
      </c>
      <c r="D21" s="65" t="s">
        <v>79</v>
      </c>
      <c r="E21" s="65" t="s">
        <v>81</v>
      </c>
      <c r="F21" s="62"/>
      <c r="G21" s="66"/>
      <c r="H21" s="51" t="s">
        <v>62</v>
      </c>
    </row>
    <row r="22" spans="1:8" ht="18" customHeight="1" x14ac:dyDescent="0.2">
      <c r="A22" s="62">
        <v>10</v>
      </c>
      <c r="B22" s="63">
        <v>4</v>
      </c>
      <c r="C22" s="64" t="s">
        <v>12</v>
      </c>
      <c r="D22" s="65" t="s">
        <v>79</v>
      </c>
      <c r="E22" s="65" t="s">
        <v>82</v>
      </c>
      <c r="F22" s="62"/>
      <c r="G22" s="66"/>
      <c r="H22" s="51" t="s">
        <v>62</v>
      </c>
    </row>
    <row r="23" spans="1:8" ht="18" customHeight="1" x14ac:dyDescent="0.2">
      <c r="A23" s="62">
        <v>11</v>
      </c>
      <c r="B23" s="63">
        <v>4</v>
      </c>
      <c r="C23" s="64" t="s">
        <v>12</v>
      </c>
      <c r="D23" s="65" t="s">
        <v>79</v>
      </c>
      <c r="E23" s="65" t="s">
        <v>83</v>
      </c>
      <c r="F23" s="62"/>
      <c r="G23" s="66"/>
      <c r="H23" s="51" t="s">
        <v>62</v>
      </c>
    </row>
    <row r="24" spans="1:8" ht="18" customHeight="1" x14ac:dyDescent="0.2">
      <c r="A24" s="62">
        <v>12</v>
      </c>
      <c r="B24" s="63">
        <v>4</v>
      </c>
      <c r="C24" s="64" t="s">
        <v>12</v>
      </c>
      <c r="D24" s="65" t="s">
        <v>79</v>
      </c>
      <c r="E24" s="65" t="s">
        <v>84</v>
      </c>
      <c r="F24" s="62"/>
      <c r="G24" s="66"/>
      <c r="H24" s="51" t="s">
        <v>62</v>
      </c>
    </row>
    <row r="25" spans="1:8" ht="18" customHeight="1" x14ac:dyDescent="0.2">
      <c r="A25" s="62">
        <v>13</v>
      </c>
      <c r="B25" s="63">
        <v>4</v>
      </c>
      <c r="C25" s="64" t="s">
        <v>12</v>
      </c>
      <c r="D25" s="65" t="s">
        <v>79</v>
      </c>
      <c r="E25" s="65" t="s">
        <v>85</v>
      </c>
      <c r="F25" s="62"/>
      <c r="G25" s="66" t="s">
        <v>86</v>
      </c>
      <c r="H25" s="51" t="s">
        <v>62</v>
      </c>
    </row>
    <row r="26" spans="1:8" ht="18" customHeight="1" x14ac:dyDescent="0.2">
      <c r="A26" s="62">
        <v>14</v>
      </c>
      <c r="B26" s="63">
        <v>4</v>
      </c>
      <c r="C26" s="64" t="s">
        <v>12</v>
      </c>
      <c r="D26" s="65" t="s">
        <v>79</v>
      </c>
      <c r="E26" s="65" t="s">
        <v>87</v>
      </c>
      <c r="F26" s="62"/>
      <c r="G26" s="66"/>
      <c r="H26" s="51" t="s">
        <v>62</v>
      </c>
    </row>
    <row r="27" spans="1:8" ht="18" customHeight="1" x14ac:dyDescent="0.2">
      <c r="A27" s="62">
        <v>15</v>
      </c>
      <c r="B27" s="63">
        <v>4</v>
      </c>
      <c r="C27" s="64" t="s">
        <v>12</v>
      </c>
      <c r="D27" s="65" t="s">
        <v>79</v>
      </c>
      <c r="E27" s="65" t="s">
        <v>88</v>
      </c>
      <c r="F27" s="62"/>
      <c r="G27" s="66"/>
      <c r="H27" s="51" t="s">
        <v>62</v>
      </c>
    </row>
    <row r="28" spans="1:8" ht="18" customHeight="1" x14ac:dyDescent="0.2">
      <c r="A28" s="62">
        <v>16</v>
      </c>
      <c r="B28" s="63">
        <v>4</v>
      </c>
      <c r="C28" s="64" t="s">
        <v>12</v>
      </c>
      <c r="D28" s="65" t="s">
        <v>79</v>
      </c>
      <c r="E28" s="65" t="s">
        <v>89</v>
      </c>
      <c r="F28" s="62"/>
      <c r="G28" s="66"/>
      <c r="H28" s="51" t="s">
        <v>62</v>
      </c>
    </row>
    <row r="29" spans="1:8" ht="18" customHeight="1" x14ac:dyDescent="0.2">
      <c r="A29" s="62">
        <v>17</v>
      </c>
      <c r="B29" s="63">
        <v>4</v>
      </c>
      <c r="C29" s="64" t="s">
        <v>12</v>
      </c>
      <c r="D29" s="65" t="s">
        <v>79</v>
      </c>
      <c r="E29" s="65" t="s">
        <v>90</v>
      </c>
      <c r="F29" s="62"/>
      <c r="G29" s="66"/>
      <c r="H29" s="51" t="s">
        <v>62</v>
      </c>
    </row>
    <row r="30" spans="1:8" ht="18" customHeight="1" x14ac:dyDescent="0.2">
      <c r="A30" s="62">
        <v>18</v>
      </c>
      <c r="B30" s="63">
        <v>4</v>
      </c>
      <c r="C30" s="64" t="s">
        <v>12</v>
      </c>
      <c r="D30" s="65" t="s">
        <v>79</v>
      </c>
      <c r="E30" s="65" t="s">
        <v>91</v>
      </c>
      <c r="F30" s="62"/>
      <c r="G30" s="66"/>
      <c r="H30" s="51" t="s">
        <v>62</v>
      </c>
    </row>
    <row r="31" spans="1:8" ht="18" customHeight="1" x14ac:dyDescent="0.2">
      <c r="A31" s="46">
        <v>19</v>
      </c>
      <c r="B31" s="47">
        <v>4</v>
      </c>
      <c r="C31" s="48" t="s">
        <v>12</v>
      </c>
      <c r="D31" s="49" t="s">
        <v>58</v>
      </c>
      <c r="E31" s="49" t="s">
        <v>92</v>
      </c>
      <c r="F31" s="46" t="s">
        <v>60</v>
      </c>
      <c r="G31" s="50" t="s">
        <v>93</v>
      </c>
      <c r="H31" s="51" t="s">
        <v>62</v>
      </c>
    </row>
    <row r="32" spans="1:8" ht="18" customHeight="1" x14ac:dyDescent="0.2">
      <c r="A32" s="46">
        <v>20</v>
      </c>
      <c r="B32" s="47">
        <v>4</v>
      </c>
      <c r="C32" s="48" t="s">
        <v>12</v>
      </c>
      <c r="D32" s="49" t="s">
        <v>58</v>
      </c>
      <c r="E32" s="49" t="s">
        <v>94</v>
      </c>
      <c r="F32" s="46" t="s">
        <v>60</v>
      </c>
      <c r="G32" s="50" t="s">
        <v>77</v>
      </c>
      <c r="H32" s="51" t="s">
        <v>62</v>
      </c>
    </row>
    <row r="33" spans="1:8" ht="18" customHeight="1" x14ac:dyDescent="0.2">
      <c r="A33" s="46">
        <v>21</v>
      </c>
      <c r="B33" s="47">
        <v>4</v>
      </c>
      <c r="C33" s="48" t="s">
        <v>12</v>
      </c>
      <c r="D33" s="49" t="s">
        <v>58</v>
      </c>
      <c r="E33" s="49" t="s">
        <v>95</v>
      </c>
      <c r="F33" s="46" t="s">
        <v>60</v>
      </c>
      <c r="G33" s="50" t="s">
        <v>77</v>
      </c>
      <c r="H33" s="51" t="s">
        <v>62</v>
      </c>
    </row>
    <row r="34" spans="1:8" ht="18" customHeight="1" x14ac:dyDescent="0.2">
      <c r="A34" s="46">
        <v>22</v>
      </c>
      <c r="B34" s="47">
        <v>4</v>
      </c>
      <c r="C34" s="48" t="s">
        <v>12</v>
      </c>
      <c r="D34" s="49" t="s">
        <v>58</v>
      </c>
      <c r="E34" s="49" t="s">
        <v>96</v>
      </c>
      <c r="F34" s="46" t="s">
        <v>60</v>
      </c>
      <c r="G34" s="50" t="s">
        <v>97</v>
      </c>
      <c r="H34" s="51" t="s">
        <v>62</v>
      </c>
    </row>
    <row r="35" spans="1:8" ht="6" customHeight="1" x14ac:dyDescent="0.2">
      <c r="A35" s="52"/>
      <c r="B35" s="52"/>
      <c r="C35" s="52"/>
      <c r="D35" s="52"/>
      <c r="E35" s="52"/>
      <c r="F35" s="52"/>
      <c r="G35" s="52"/>
      <c r="H35" s="52"/>
    </row>
    <row r="36" spans="1:8" ht="21.75" customHeight="1" x14ac:dyDescent="0.2">
      <c r="A36" s="8" t="s">
        <v>98</v>
      </c>
      <c r="B36" s="8"/>
      <c r="C36" s="8"/>
      <c r="D36" s="8"/>
      <c r="E36" s="8"/>
      <c r="F36" s="8"/>
      <c r="G36" s="8"/>
      <c r="H36" s="8"/>
    </row>
    <row r="37" spans="1:8" ht="18" customHeight="1" x14ac:dyDescent="0.2">
      <c r="A37" s="58">
        <v>23</v>
      </c>
      <c r="B37" s="59">
        <v>5</v>
      </c>
      <c r="C37" s="60" t="s">
        <v>13</v>
      </c>
      <c r="D37" s="51" t="s">
        <v>70</v>
      </c>
      <c r="E37" s="51" t="s">
        <v>99</v>
      </c>
      <c r="F37" s="58" t="s">
        <v>72</v>
      </c>
      <c r="G37" s="61" t="s">
        <v>100</v>
      </c>
      <c r="H37" s="51" t="s">
        <v>62</v>
      </c>
    </row>
    <row r="38" spans="1:8" ht="18" customHeight="1" x14ac:dyDescent="0.2">
      <c r="A38" s="58">
        <v>24</v>
      </c>
      <c r="B38" s="59">
        <v>5</v>
      </c>
      <c r="C38" s="60" t="s">
        <v>13</v>
      </c>
      <c r="D38" s="51" t="s">
        <v>70</v>
      </c>
      <c r="E38" s="51" t="s">
        <v>101</v>
      </c>
      <c r="F38" s="58" t="s">
        <v>72</v>
      </c>
      <c r="G38" s="61"/>
      <c r="H38" s="51" t="s">
        <v>62</v>
      </c>
    </row>
    <row r="39" spans="1:8" ht="18" customHeight="1" x14ac:dyDescent="0.2">
      <c r="A39" s="58">
        <v>25</v>
      </c>
      <c r="B39" s="59">
        <v>5</v>
      </c>
      <c r="C39" s="60" t="s">
        <v>13</v>
      </c>
      <c r="D39" s="51" t="s">
        <v>70</v>
      </c>
      <c r="E39" s="51" t="s">
        <v>102</v>
      </c>
      <c r="F39" s="58" t="s">
        <v>72</v>
      </c>
      <c r="G39" s="61"/>
      <c r="H39" s="51" t="s">
        <v>62</v>
      </c>
    </row>
    <row r="40" spans="1:8" ht="18" customHeight="1" x14ac:dyDescent="0.2">
      <c r="A40" s="58">
        <v>26</v>
      </c>
      <c r="B40" s="59">
        <v>5</v>
      </c>
      <c r="C40" s="60" t="s">
        <v>13</v>
      </c>
      <c r="D40" s="51" t="s">
        <v>70</v>
      </c>
      <c r="E40" s="51" t="s">
        <v>103</v>
      </c>
      <c r="F40" s="58" t="s">
        <v>72</v>
      </c>
      <c r="G40" s="61"/>
      <c r="H40" s="51" t="s">
        <v>62</v>
      </c>
    </row>
    <row r="41" spans="1:8" ht="18" customHeight="1" x14ac:dyDescent="0.2">
      <c r="A41" s="58">
        <v>27</v>
      </c>
      <c r="B41" s="59">
        <v>5</v>
      </c>
      <c r="C41" s="60" t="s">
        <v>13</v>
      </c>
      <c r="D41" s="51" t="s">
        <v>70</v>
      </c>
      <c r="E41" s="51" t="s">
        <v>104</v>
      </c>
      <c r="F41" s="58" t="s">
        <v>72</v>
      </c>
      <c r="G41" s="61"/>
      <c r="H41" s="51" t="s">
        <v>62</v>
      </c>
    </row>
    <row r="42" spans="1:8" ht="18" customHeight="1" x14ac:dyDescent="0.2">
      <c r="A42" s="58">
        <v>28</v>
      </c>
      <c r="B42" s="59">
        <v>5</v>
      </c>
      <c r="C42" s="60" t="s">
        <v>13</v>
      </c>
      <c r="D42" s="51" t="s">
        <v>70</v>
      </c>
      <c r="E42" s="51" t="s">
        <v>105</v>
      </c>
      <c r="F42" s="58" t="s">
        <v>72</v>
      </c>
      <c r="G42" s="61"/>
      <c r="H42" s="51" t="s">
        <v>62</v>
      </c>
    </row>
    <row r="43" spans="1:8" ht="18" customHeight="1" x14ac:dyDescent="0.2">
      <c r="A43" s="62">
        <v>29</v>
      </c>
      <c r="B43" s="63">
        <v>5</v>
      </c>
      <c r="C43" s="64" t="s">
        <v>13</v>
      </c>
      <c r="D43" s="65" t="s">
        <v>79</v>
      </c>
      <c r="E43" s="65" t="s">
        <v>106</v>
      </c>
      <c r="F43" s="62"/>
      <c r="G43" s="66"/>
      <c r="H43" s="51" t="s">
        <v>62</v>
      </c>
    </row>
    <row r="44" spans="1:8" ht="18" customHeight="1" x14ac:dyDescent="0.2">
      <c r="A44" s="62">
        <v>30</v>
      </c>
      <c r="B44" s="63">
        <v>5</v>
      </c>
      <c r="C44" s="64" t="s">
        <v>13</v>
      </c>
      <c r="D44" s="65" t="s">
        <v>79</v>
      </c>
      <c r="E44" s="65" t="s">
        <v>107</v>
      </c>
      <c r="F44" s="62"/>
      <c r="G44" s="66"/>
      <c r="H44" s="51" t="s">
        <v>62</v>
      </c>
    </row>
    <row r="45" spans="1:8" ht="18" customHeight="1" x14ac:dyDescent="0.2">
      <c r="A45" s="62">
        <v>31</v>
      </c>
      <c r="B45" s="63">
        <v>5</v>
      </c>
      <c r="C45" s="64" t="s">
        <v>13</v>
      </c>
      <c r="D45" s="65" t="s">
        <v>79</v>
      </c>
      <c r="E45" s="65" t="s">
        <v>108</v>
      </c>
      <c r="F45" s="62"/>
      <c r="G45" s="66"/>
      <c r="H45" s="51" t="s">
        <v>62</v>
      </c>
    </row>
    <row r="46" spans="1:8" ht="18" customHeight="1" x14ac:dyDescent="0.2">
      <c r="A46" s="62">
        <v>32</v>
      </c>
      <c r="B46" s="63">
        <v>5</v>
      </c>
      <c r="C46" s="64" t="s">
        <v>13</v>
      </c>
      <c r="D46" s="65" t="s">
        <v>79</v>
      </c>
      <c r="E46" s="65" t="s">
        <v>109</v>
      </c>
      <c r="F46" s="62"/>
      <c r="G46" s="66"/>
      <c r="H46" s="51" t="s">
        <v>62</v>
      </c>
    </row>
    <row r="47" spans="1:8" ht="18" customHeight="1" x14ac:dyDescent="0.2">
      <c r="A47" s="62">
        <v>33</v>
      </c>
      <c r="B47" s="63">
        <v>5</v>
      </c>
      <c r="C47" s="64" t="s">
        <v>13</v>
      </c>
      <c r="D47" s="65" t="s">
        <v>79</v>
      </c>
      <c r="E47" s="65" t="s">
        <v>110</v>
      </c>
      <c r="F47" s="62"/>
      <c r="G47" s="66"/>
      <c r="H47" s="51" t="s">
        <v>62</v>
      </c>
    </row>
    <row r="48" spans="1:8" ht="18" customHeight="1" x14ac:dyDescent="0.2">
      <c r="A48" s="62">
        <v>34</v>
      </c>
      <c r="B48" s="63">
        <v>5</v>
      </c>
      <c r="C48" s="64" t="s">
        <v>13</v>
      </c>
      <c r="D48" s="65" t="s">
        <v>79</v>
      </c>
      <c r="E48" s="65" t="s">
        <v>87</v>
      </c>
      <c r="F48" s="62"/>
      <c r="G48" s="66"/>
      <c r="H48" s="51" t="s">
        <v>62</v>
      </c>
    </row>
    <row r="49" spans="1:8" ht="18" customHeight="1" x14ac:dyDescent="0.2">
      <c r="A49" s="62">
        <v>35</v>
      </c>
      <c r="B49" s="63">
        <v>5</v>
      </c>
      <c r="C49" s="64" t="s">
        <v>13</v>
      </c>
      <c r="D49" s="65" t="s">
        <v>79</v>
      </c>
      <c r="E49" s="65" t="s">
        <v>111</v>
      </c>
      <c r="F49" s="62"/>
      <c r="G49" s="66"/>
      <c r="H49" s="51" t="s">
        <v>62</v>
      </c>
    </row>
    <row r="50" spans="1:8" ht="18" customHeight="1" x14ac:dyDescent="0.2">
      <c r="A50" s="62">
        <v>36</v>
      </c>
      <c r="B50" s="63">
        <v>5</v>
      </c>
      <c r="C50" s="64" t="s">
        <v>13</v>
      </c>
      <c r="D50" s="65" t="s">
        <v>79</v>
      </c>
      <c r="E50" s="65" t="s">
        <v>112</v>
      </c>
      <c r="F50" s="62"/>
      <c r="G50" s="66"/>
      <c r="H50" s="51" t="s">
        <v>62</v>
      </c>
    </row>
    <row r="51" spans="1:8" ht="18" customHeight="1" x14ac:dyDescent="0.2">
      <c r="A51" s="62">
        <v>37</v>
      </c>
      <c r="B51" s="63">
        <v>5</v>
      </c>
      <c r="C51" s="64" t="s">
        <v>13</v>
      </c>
      <c r="D51" s="65" t="s">
        <v>79</v>
      </c>
      <c r="E51" s="65" t="s">
        <v>113</v>
      </c>
      <c r="F51" s="62"/>
      <c r="G51" s="66"/>
      <c r="H51" s="51" t="s">
        <v>62</v>
      </c>
    </row>
    <row r="52" spans="1:8" ht="18" customHeight="1" x14ac:dyDescent="0.2">
      <c r="A52" s="62">
        <v>38</v>
      </c>
      <c r="B52" s="63">
        <v>5</v>
      </c>
      <c r="C52" s="64" t="s">
        <v>13</v>
      </c>
      <c r="D52" s="65" t="s">
        <v>79</v>
      </c>
      <c r="E52" s="65" t="s">
        <v>114</v>
      </c>
      <c r="F52" s="62"/>
      <c r="G52" s="66"/>
      <c r="H52" s="51" t="s">
        <v>62</v>
      </c>
    </row>
    <row r="53" spans="1:8" ht="18" customHeight="1" x14ac:dyDescent="0.2">
      <c r="A53" s="62">
        <v>39</v>
      </c>
      <c r="B53" s="63">
        <v>5</v>
      </c>
      <c r="C53" s="64" t="s">
        <v>13</v>
      </c>
      <c r="D53" s="65" t="s">
        <v>79</v>
      </c>
      <c r="E53" s="65" t="s">
        <v>115</v>
      </c>
      <c r="F53" s="62"/>
      <c r="G53" s="66"/>
      <c r="H53" s="51" t="s">
        <v>62</v>
      </c>
    </row>
    <row r="54" spans="1:8" ht="18" customHeight="1" x14ac:dyDescent="0.2">
      <c r="A54" s="46">
        <v>40</v>
      </c>
      <c r="B54" s="47">
        <v>5</v>
      </c>
      <c r="C54" s="48" t="s">
        <v>13</v>
      </c>
      <c r="D54" s="49" t="s">
        <v>58</v>
      </c>
      <c r="E54" s="49" t="s">
        <v>116</v>
      </c>
      <c r="F54" s="46" t="s">
        <v>60</v>
      </c>
      <c r="G54" s="50"/>
      <c r="H54" s="51" t="s">
        <v>62</v>
      </c>
    </row>
    <row r="55" spans="1:8" ht="18" customHeight="1" x14ac:dyDescent="0.2">
      <c r="A55" s="46">
        <v>41</v>
      </c>
      <c r="B55" s="47">
        <v>5</v>
      </c>
      <c r="C55" s="48" t="s">
        <v>13</v>
      </c>
      <c r="D55" s="49" t="s">
        <v>58</v>
      </c>
      <c r="E55" s="49" t="s">
        <v>117</v>
      </c>
      <c r="F55" s="46" t="s">
        <v>60</v>
      </c>
      <c r="G55" s="50"/>
      <c r="H55" s="51" t="s">
        <v>62</v>
      </c>
    </row>
    <row r="56" spans="1:8" ht="18" customHeight="1" x14ac:dyDescent="0.2">
      <c r="A56" s="46">
        <v>42</v>
      </c>
      <c r="B56" s="47">
        <v>5</v>
      </c>
      <c r="C56" s="48" t="s">
        <v>13</v>
      </c>
      <c r="D56" s="49" t="s">
        <v>58</v>
      </c>
      <c r="E56" s="49" t="s">
        <v>118</v>
      </c>
      <c r="F56" s="46" t="s">
        <v>60</v>
      </c>
      <c r="G56" s="50"/>
      <c r="H56" s="51" t="s">
        <v>62</v>
      </c>
    </row>
    <row r="57" spans="1:8" ht="18" customHeight="1" x14ac:dyDescent="0.2">
      <c r="A57" s="46">
        <v>43</v>
      </c>
      <c r="B57" s="47">
        <v>5</v>
      </c>
      <c r="C57" s="48" t="s">
        <v>13</v>
      </c>
      <c r="D57" s="49" t="s">
        <v>58</v>
      </c>
      <c r="E57" s="49" t="s">
        <v>119</v>
      </c>
      <c r="F57" s="46" t="s">
        <v>60</v>
      </c>
      <c r="G57" s="50"/>
      <c r="H57" s="51" t="s">
        <v>62</v>
      </c>
    </row>
    <row r="58" spans="1:8" ht="18" customHeight="1" x14ac:dyDescent="0.2">
      <c r="A58" s="46">
        <v>44</v>
      </c>
      <c r="B58" s="47">
        <v>5</v>
      </c>
      <c r="C58" s="48" t="s">
        <v>13</v>
      </c>
      <c r="D58" s="49" t="s">
        <v>58</v>
      </c>
      <c r="E58" s="49" t="s">
        <v>120</v>
      </c>
      <c r="F58" s="46" t="s">
        <v>60</v>
      </c>
      <c r="G58" s="50"/>
      <c r="H58" s="51" t="s">
        <v>62</v>
      </c>
    </row>
    <row r="59" spans="1:8" ht="18" customHeight="1" x14ac:dyDescent="0.2">
      <c r="A59" s="46">
        <v>45</v>
      </c>
      <c r="B59" s="47">
        <v>5</v>
      </c>
      <c r="C59" s="48" t="s">
        <v>13</v>
      </c>
      <c r="D59" s="49" t="s">
        <v>58</v>
      </c>
      <c r="E59" s="49" t="s">
        <v>121</v>
      </c>
      <c r="F59" s="46" t="s">
        <v>60</v>
      </c>
      <c r="G59" s="50"/>
      <c r="H59" s="51" t="s">
        <v>62</v>
      </c>
    </row>
    <row r="60" spans="1:8" ht="6" customHeight="1" x14ac:dyDescent="0.2">
      <c r="A60" s="52"/>
      <c r="B60" s="52"/>
      <c r="C60" s="52"/>
      <c r="D60" s="52"/>
      <c r="E60" s="52"/>
      <c r="F60" s="52"/>
      <c r="G60" s="52"/>
      <c r="H60" s="52"/>
    </row>
    <row r="61" spans="1:8" ht="21.75" customHeight="1" x14ac:dyDescent="0.2">
      <c r="A61" s="8" t="s">
        <v>122</v>
      </c>
      <c r="B61" s="8"/>
      <c r="C61" s="8"/>
      <c r="D61" s="8"/>
      <c r="E61" s="8"/>
      <c r="F61" s="8"/>
      <c r="G61" s="8"/>
      <c r="H61" s="8"/>
    </row>
    <row r="62" spans="1:8" ht="18" customHeight="1" x14ac:dyDescent="0.2">
      <c r="A62" s="46">
        <v>46</v>
      </c>
      <c r="B62" s="47">
        <v>6</v>
      </c>
      <c r="C62" s="48" t="s">
        <v>14</v>
      </c>
      <c r="D62" s="49" t="s">
        <v>58</v>
      </c>
      <c r="E62" s="49" t="s">
        <v>123</v>
      </c>
      <c r="F62" s="46" t="s">
        <v>60</v>
      </c>
      <c r="G62" s="50"/>
      <c r="H62" s="51" t="s">
        <v>62</v>
      </c>
    </row>
    <row r="63" spans="1:8" ht="6" customHeight="1" x14ac:dyDescent="0.2">
      <c r="A63" s="52"/>
      <c r="B63" s="52"/>
      <c r="C63" s="52"/>
      <c r="D63" s="52"/>
      <c r="E63" s="52"/>
      <c r="F63" s="52"/>
      <c r="G63" s="52"/>
      <c r="H63" s="52"/>
    </row>
    <row r="64" spans="1:8" ht="21.75" customHeight="1" x14ac:dyDescent="0.2">
      <c r="A64" s="8" t="s">
        <v>124</v>
      </c>
      <c r="B64" s="8"/>
      <c r="C64" s="8"/>
      <c r="D64" s="8"/>
      <c r="E64" s="8"/>
      <c r="F64" s="8"/>
      <c r="G64" s="8"/>
      <c r="H64" s="8"/>
    </row>
    <row r="65" spans="1:8" ht="18" customHeight="1" x14ac:dyDescent="0.2">
      <c r="A65" s="46">
        <v>47</v>
      </c>
      <c r="B65" s="47">
        <v>7</v>
      </c>
      <c r="C65" s="48" t="s">
        <v>15</v>
      </c>
      <c r="D65" s="49" t="s">
        <v>58</v>
      </c>
      <c r="E65" s="49" t="s">
        <v>125</v>
      </c>
      <c r="F65" s="46" t="s">
        <v>60</v>
      </c>
      <c r="G65" s="50"/>
      <c r="H65" s="51" t="s">
        <v>62</v>
      </c>
    </row>
    <row r="66" spans="1:8" ht="18" customHeight="1" x14ac:dyDescent="0.2">
      <c r="A66" s="46">
        <v>48</v>
      </c>
      <c r="B66" s="47">
        <v>7</v>
      </c>
      <c r="C66" s="48" t="s">
        <v>15</v>
      </c>
      <c r="D66" s="49" t="s">
        <v>58</v>
      </c>
      <c r="E66" s="49" t="s">
        <v>126</v>
      </c>
      <c r="F66" s="46" t="s">
        <v>60</v>
      </c>
      <c r="G66" s="50"/>
      <c r="H66" s="51" t="s">
        <v>62</v>
      </c>
    </row>
    <row r="67" spans="1:8" ht="6" customHeight="1" x14ac:dyDescent="0.2">
      <c r="A67" s="52"/>
      <c r="B67" s="52"/>
      <c r="C67" s="52"/>
      <c r="D67" s="52"/>
      <c r="E67" s="52"/>
      <c r="F67" s="52"/>
      <c r="G67" s="52"/>
      <c r="H67" s="52"/>
    </row>
    <row r="68" spans="1:8" ht="21.75" customHeight="1" x14ac:dyDescent="0.2">
      <c r="A68" s="8" t="s">
        <v>127</v>
      </c>
      <c r="B68" s="8"/>
      <c r="C68" s="8"/>
      <c r="D68" s="8"/>
      <c r="E68" s="8"/>
      <c r="F68" s="8"/>
      <c r="G68" s="8"/>
      <c r="H68" s="8"/>
    </row>
    <row r="69" spans="1:8" ht="18" customHeight="1" x14ac:dyDescent="0.2">
      <c r="A69" s="46">
        <v>49</v>
      </c>
      <c r="B69" s="47">
        <v>8</v>
      </c>
      <c r="C69" s="48" t="s">
        <v>16</v>
      </c>
      <c r="D69" s="49" t="s">
        <v>58</v>
      </c>
      <c r="E69" s="49" t="s">
        <v>128</v>
      </c>
      <c r="F69" s="46" t="s">
        <v>60</v>
      </c>
      <c r="G69" s="50"/>
      <c r="H69" s="51" t="s">
        <v>62</v>
      </c>
    </row>
    <row r="70" spans="1:8" ht="18" customHeight="1" x14ac:dyDescent="0.2">
      <c r="A70" s="46">
        <v>50</v>
      </c>
      <c r="B70" s="47">
        <v>8</v>
      </c>
      <c r="C70" s="48" t="s">
        <v>16</v>
      </c>
      <c r="D70" s="49" t="s">
        <v>58</v>
      </c>
      <c r="E70" s="49" t="s">
        <v>129</v>
      </c>
      <c r="F70" s="46" t="s">
        <v>60</v>
      </c>
      <c r="G70" s="50"/>
      <c r="H70" s="51" t="s">
        <v>62</v>
      </c>
    </row>
    <row r="71" spans="1:8" ht="18" customHeight="1" x14ac:dyDescent="0.2">
      <c r="A71" s="46">
        <v>51</v>
      </c>
      <c r="B71" s="47">
        <v>8</v>
      </c>
      <c r="C71" s="48" t="s">
        <v>16</v>
      </c>
      <c r="D71" s="49" t="s">
        <v>58</v>
      </c>
      <c r="E71" s="49" t="s">
        <v>130</v>
      </c>
      <c r="F71" s="46" t="s">
        <v>60</v>
      </c>
      <c r="G71" s="50"/>
      <c r="H71" s="51" t="s">
        <v>62</v>
      </c>
    </row>
    <row r="72" spans="1:8" ht="18" customHeight="1" x14ac:dyDescent="0.2">
      <c r="A72" s="46">
        <v>52</v>
      </c>
      <c r="B72" s="47">
        <v>8</v>
      </c>
      <c r="C72" s="48" t="s">
        <v>16</v>
      </c>
      <c r="D72" s="49" t="s">
        <v>58</v>
      </c>
      <c r="E72" s="49" t="s">
        <v>131</v>
      </c>
      <c r="F72" s="46" t="s">
        <v>60</v>
      </c>
      <c r="G72" s="50"/>
      <c r="H72" s="51" t="s">
        <v>62</v>
      </c>
    </row>
    <row r="73" spans="1:8" ht="6" customHeight="1" x14ac:dyDescent="0.2">
      <c r="A73" s="52"/>
      <c r="B73" s="52"/>
      <c r="C73" s="52"/>
      <c r="D73" s="52"/>
      <c r="E73" s="52"/>
      <c r="F73" s="52"/>
      <c r="G73" s="52"/>
      <c r="H73" s="52"/>
    </row>
    <row r="74" spans="1:8" ht="21.75" customHeight="1" x14ac:dyDescent="0.2">
      <c r="A74" s="8" t="s">
        <v>132</v>
      </c>
      <c r="B74" s="8"/>
      <c r="C74" s="8"/>
      <c r="D74" s="8"/>
      <c r="E74" s="8"/>
      <c r="F74" s="8"/>
      <c r="G74" s="8"/>
      <c r="H74" s="8"/>
    </row>
    <row r="75" spans="1:8" ht="18" customHeight="1" x14ac:dyDescent="0.2">
      <c r="A75" s="58">
        <v>53</v>
      </c>
      <c r="B75" s="59">
        <v>9</v>
      </c>
      <c r="C75" s="60" t="s">
        <v>17</v>
      </c>
      <c r="D75" s="51" t="s">
        <v>70</v>
      </c>
      <c r="E75" s="67" t="s">
        <v>64</v>
      </c>
      <c r="F75" s="58" t="s">
        <v>72</v>
      </c>
      <c r="G75" s="61"/>
      <c r="H75" s="51" t="s">
        <v>62</v>
      </c>
    </row>
    <row r="76" spans="1:8" ht="18" customHeight="1" x14ac:dyDescent="0.2">
      <c r="A76" s="46">
        <v>54</v>
      </c>
      <c r="B76" s="47">
        <v>9</v>
      </c>
      <c r="C76" s="48" t="s">
        <v>17</v>
      </c>
      <c r="D76" s="49" t="s">
        <v>58</v>
      </c>
      <c r="E76" s="53" t="s">
        <v>64</v>
      </c>
      <c r="F76" s="46" t="s">
        <v>60</v>
      </c>
      <c r="G76" s="50"/>
      <c r="H76" s="51" t="s">
        <v>62</v>
      </c>
    </row>
    <row r="77" spans="1:8" ht="6" customHeight="1" x14ac:dyDescent="0.2">
      <c r="A77" s="52"/>
      <c r="B77" s="52"/>
      <c r="C77" s="52"/>
      <c r="D77" s="52"/>
      <c r="E77" s="52"/>
      <c r="F77" s="52"/>
      <c r="G77" s="52"/>
      <c r="H77" s="52"/>
    </row>
    <row r="78" spans="1:8" ht="21.75" customHeight="1" x14ac:dyDescent="0.2">
      <c r="A78" s="8" t="s">
        <v>133</v>
      </c>
      <c r="B78" s="8"/>
      <c r="C78" s="8"/>
      <c r="D78" s="8"/>
      <c r="E78" s="8"/>
      <c r="F78" s="8"/>
      <c r="G78" s="8"/>
      <c r="H78" s="8"/>
    </row>
    <row r="79" spans="1:8" ht="18" customHeight="1" x14ac:dyDescent="0.2">
      <c r="A79" s="62">
        <v>55</v>
      </c>
      <c r="B79" s="63">
        <v>10</v>
      </c>
      <c r="C79" s="64" t="s">
        <v>18</v>
      </c>
      <c r="D79" s="65" t="s">
        <v>79</v>
      </c>
      <c r="E79" s="68" t="s">
        <v>64</v>
      </c>
      <c r="F79" s="62"/>
      <c r="G79" s="66"/>
      <c r="H79" s="51" t="s">
        <v>62</v>
      </c>
    </row>
    <row r="80" spans="1:8" ht="18" customHeight="1" x14ac:dyDescent="0.2">
      <c r="A80" s="46">
        <v>56</v>
      </c>
      <c r="B80" s="47">
        <v>10</v>
      </c>
      <c r="C80" s="48" t="s">
        <v>18</v>
      </c>
      <c r="D80" s="49" t="s">
        <v>58</v>
      </c>
      <c r="E80" s="53" t="s">
        <v>64</v>
      </c>
      <c r="F80" s="46" t="s">
        <v>60</v>
      </c>
      <c r="G80" s="50"/>
      <c r="H80" s="51" t="s">
        <v>62</v>
      </c>
    </row>
    <row r="81" spans="1:8" ht="6" customHeight="1" x14ac:dyDescent="0.2">
      <c r="A81" s="52"/>
      <c r="B81" s="52"/>
      <c r="C81" s="52"/>
      <c r="D81" s="52"/>
      <c r="E81" s="52"/>
      <c r="F81" s="52"/>
      <c r="G81" s="52"/>
      <c r="H81" s="52"/>
    </row>
    <row r="82" spans="1:8" ht="21.75" customHeight="1" x14ac:dyDescent="0.2">
      <c r="A82" s="8" t="s">
        <v>134</v>
      </c>
      <c r="B82" s="8"/>
      <c r="C82" s="8"/>
      <c r="D82" s="8"/>
      <c r="E82" s="8"/>
      <c r="F82" s="8"/>
      <c r="G82" s="8"/>
      <c r="H82" s="8"/>
    </row>
    <row r="83" spans="1:8" ht="18" customHeight="1" x14ac:dyDescent="0.2">
      <c r="A83" s="62">
        <v>57</v>
      </c>
      <c r="B83" s="63">
        <v>11</v>
      </c>
      <c r="C83" s="64" t="s">
        <v>19</v>
      </c>
      <c r="D83" s="65" t="s">
        <v>79</v>
      </c>
      <c r="E83" s="65" t="s">
        <v>135</v>
      </c>
      <c r="F83" s="62"/>
      <c r="G83" s="66"/>
      <c r="H83" s="51" t="s">
        <v>62</v>
      </c>
    </row>
    <row r="84" spans="1:8" ht="18" customHeight="1" x14ac:dyDescent="0.2">
      <c r="A84" s="46">
        <v>58</v>
      </c>
      <c r="B84" s="47">
        <v>11</v>
      </c>
      <c r="C84" s="48" t="s">
        <v>19</v>
      </c>
      <c r="D84" s="49" t="s">
        <v>58</v>
      </c>
      <c r="E84" s="49" t="s">
        <v>136</v>
      </c>
      <c r="F84" s="46" t="s">
        <v>60</v>
      </c>
      <c r="G84" s="50"/>
      <c r="H84" s="51" t="s">
        <v>62</v>
      </c>
    </row>
    <row r="85" spans="1:8" ht="6" customHeight="1" x14ac:dyDescent="0.2">
      <c r="A85" s="52"/>
      <c r="B85" s="52"/>
      <c r="C85" s="52"/>
      <c r="D85" s="52"/>
      <c r="E85" s="52"/>
      <c r="F85" s="52"/>
      <c r="G85" s="52"/>
      <c r="H85" s="52"/>
    </row>
    <row r="86" spans="1:8" ht="21.75" customHeight="1" x14ac:dyDescent="0.2">
      <c r="A86" s="8" t="s">
        <v>137</v>
      </c>
      <c r="B86" s="8"/>
      <c r="C86" s="8"/>
      <c r="D86" s="8"/>
      <c r="E86" s="8"/>
      <c r="F86" s="8"/>
      <c r="G86" s="8"/>
      <c r="H86" s="8"/>
    </row>
    <row r="87" spans="1:8" ht="18" customHeight="1" x14ac:dyDescent="0.2">
      <c r="A87" s="46">
        <v>59</v>
      </c>
      <c r="B87" s="47">
        <v>12</v>
      </c>
      <c r="C87" s="48" t="s">
        <v>20</v>
      </c>
      <c r="D87" s="49" t="s">
        <v>58</v>
      </c>
      <c r="E87" s="53" t="s">
        <v>64</v>
      </c>
      <c r="F87" s="46" t="s">
        <v>60</v>
      </c>
      <c r="G87" s="50"/>
      <c r="H87" s="51" t="s">
        <v>62</v>
      </c>
    </row>
    <row r="88" spans="1:8" ht="6" customHeight="1" x14ac:dyDescent="0.2">
      <c r="A88" s="52"/>
      <c r="B88" s="52"/>
      <c r="C88" s="52"/>
      <c r="D88" s="52"/>
      <c r="E88" s="52"/>
      <c r="F88" s="52"/>
      <c r="G88" s="52"/>
      <c r="H88" s="52"/>
    </row>
    <row r="89" spans="1:8" ht="21.75" customHeight="1" x14ac:dyDescent="0.2">
      <c r="A89" s="8" t="s">
        <v>138</v>
      </c>
      <c r="B89" s="8"/>
      <c r="C89" s="8"/>
      <c r="D89" s="8"/>
      <c r="E89" s="8"/>
      <c r="F89" s="8"/>
      <c r="G89" s="8"/>
      <c r="H89" s="8"/>
    </row>
    <row r="90" spans="1:8" ht="18" customHeight="1" x14ac:dyDescent="0.2">
      <c r="A90" s="58">
        <v>60</v>
      </c>
      <c r="B90" s="59">
        <v>13</v>
      </c>
      <c r="C90" s="60" t="s">
        <v>21</v>
      </c>
      <c r="D90" s="51" t="s">
        <v>70</v>
      </c>
      <c r="E90" s="67" t="s">
        <v>64</v>
      </c>
      <c r="F90" s="58" t="s">
        <v>72</v>
      </c>
      <c r="G90" s="61"/>
      <c r="H90" s="51" t="s">
        <v>62</v>
      </c>
    </row>
    <row r="91" spans="1:8" ht="18" customHeight="1" x14ac:dyDescent="0.2">
      <c r="A91" s="46">
        <v>61</v>
      </c>
      <c r="B91" s="47">
        <v>13</v>
      </c>
      <c r="C91" s="48" t="s">
        <v>21</v>
      </c>
      <c r="D91" s="49" t="s">
        <v>58</v>
      </c>
      <c r="E91" s="53" t="s">
        <v>64</v>
      </c>
      <c r="F91" s="46" t="s">
        <v>60</v>
      </c>
      <c r="G91" s="50"/>
      <c r="H91" s="51" t="s">
        <v>62</v>
      </c>
    </row>
    <row r="92" spans="1:8" ht="6" customHeight="1" x14ac:dyDescent="0.2">
      <c r="A92" s="52"/>
      <c r="B92" s="52"/>
      <c r="C92" s="52"/>
      <c r="D92" s="52"/>
      <c r="E92" s="52"/>
      <c r="F92" s="52"/>
      <c r="G92" s="52"/>
      <c r="H92" s="52"/>
    </row>
    <row r="93" spans="1:8" ht="21.75" customHeight="1" x14ac:dyDescent="0.2">
      <c r="A93" s="7" t="s">
        <v>139</v>
      </c>
      <c r="B93" s="7"/>
      <c r="C93" s="7"/>
      <c r="D93" s="7"/>
      <c r="E93" s="7"/>
      <c r="F93" s="7"/>
      <c r="G93" s="7"/>
      <c r="H93" s="7"/>
    </row>
    <row r="94" spans="1:8" ht="18" customHeight="1" x14ac:dyDescent="0.2">
      <c r="A94" s="54" t="s">
        <v>66</v>
      </c>
      <c r="B94" s="54">
        <v>14</v>
      </c>
      <c r="C94" s="55" t="s">
        <v>23</v>
      </c>
      <c r="D94" s="56" t="s">
        <v>67</v>
      </c>
      <c r="E94" s="54" t="s">
        <v>66</v>
      </c>
      <c r="F94" s="54" t="s">
        <v>66</v>
      </c>
      <c r="G94" s="55" t="s">
        <v>66</v>
      </c>
      <c r="H94" s="57" t="s">
        <v>68</v>
      </c>
    </row>
    <row r="95" spans="1:8" ht="6" customHeight="1" x14ac:dyDescent="0.2">
      <c r="A95" s="52"/>
      <c r="B95" s="52"/>
      <c r="C95" s="52"/>
      <c r="D95" s="52"/>
      <c r="E95" s="52"/>
      <c r="F95" s="52"/>
      <c r="G95" s="52"/>
      <c r="H95" s="52"/>
    </row>
    <row r="96" spans="1:8" ht="21.75" customHeight="1" x14ac:dyDescent="0.2">
      <c r="A96" s="7" t="s">
        <v>140</v>
      </c>
      <c r="B96" s="7"/>
      <c r="C96" s="7"/>
      <c r="D96" s="7"/>
      <c r="E96" s="7"/>
      <c r="F96" s="7"/>
      <c r="G96" s="7"/>
      <c r="H96" s="7"/>
    </row>
    <row r="97" spans="1:8" ht="18" customHeight="1" x14ac:dyDescent="0.2">
      <c r="A97" s="54" t="s">
        <v>66</v>
      </c>
      <c r="B97" s="54">
        <v>15</v>
      </c>
      <c r="C97" s="55" t="s">
        <v>24</v>
      </c>
      <c r="D97" s="56" t="s">
        <v>67</v>
      </c>
      <c r="E97" s="54" t="s">
        <v>66</v>
      </c>
      <c r="F97" s="54" t="s">
        <v>66</v>
      </c>
      <c r="G97" s="55" t="s">
        <v>66</v>
      </c>
      <c r="H97" s="57" t="s">
        <v>68</v>
      </c>
    </row>
    <row r="98" spans="1:8" ht="6" customHeight="1" x14ac:dyDescent="0.2">
      <c r="A98" s="52"/>
      <c r="B98" s="52"/>
      <c r="C98" s="52"/>
      <c r="D98" s="52"/>
      <c r="E98" s="52"/>
      <c r="F98" s="52"/>
      <c r="G98" s="52"/>
      <c r="H98" s="52"/>
    </row>
    <row r="99" spans="1:8" ht="21.75" customHeight="1" x14ac:dyDescent="0.2">
      <c r="A99" s="7" t="s">
        <v>141</v>
      </c>
      <c r="B99" s="7"/>
      <c r="C99" s="7"/>
      <c r="D99" s="7"/>
      <c r="E99" s="7"/>
      <c r="F99" s="7"/>
      <c r="G99" s="7"/>
      <c r="H99" s="7"/>
    </row>
    <row r="100" spans="1:8" ht="18" customHeight="1" x14ac:dyDescent="0.2">
      <c r="A100" s="54" t="s">
        <v>66</v>
      </c>
      <c r="B100" s="54">
        <v>16</v>
      </c>
      <c r="C100" s="55" t="s">
        <v>25</v>
      </c>
      <c r="D100" s="56" t="s">
        <v>67</v>
      </c>
      <c r="E100" s="54" t="s">
        <v>66</v>
      </c>
      <c r="F100" s="54" t="s">
        <v>66</v>
      </c>
      <c r="G100" s="55" t="s">
        <v>66</v>
      </c>
      <c r="H100" s="57" t="s">
        <v>68</v>
      </c>
    </row>
    <row r="101" spans="1:8" ht="6" customHeight="1" x14ac:dyDescent="0.2">
      <c r="A101" s="52"/>
      <c r="B101" s="52"/>
      <c r="C101" s="52"/>
      <c r="D101" s="52"/>
      <c r="E101" s="52"/>
      <c r="F101" s="52"/>
      <c r="G101" s="52"/>
      <c r="H101" s="52"/>
    </row>
    <row r="102" spans="1:8" ht="21.75" customHeight="1" x14ac:dyDescent="0.2">
      <c r="A102" s="7" t="s">
        <v>142</v>
      </c>
      <c r="B102" s="7"/>
      <c r="C102" s="7"/>
      <c r="D102" s="7"/>
      <c r="E102" s="7"/>
      <c r="F102" s="7"/>
      <c r="G102" s="7"/>
      <c r="H102" s="7"/>
    </row>
    <row r="103" spans="1:8" ht="18" customHeight="1" x14ac:dyDescent="0.2">
      <c r="A103" s="58">
        <v>62</v>
      </c>
      <c r="B103" s="59">
        <v>17</v>
      </c>
      <c r="C103" s="60" t="s">
        <v>26</v>
      </c>
      <c r="D103" s="51" t="s">
        <v>70</v>
      </c>
      <c r="E103" s="51" t="s">
        <v>143</v>
      </c>
      <c r="F103" s="58" t="s">
        <v>72</v>
      </c>
      <c r="G103" s="61"/>
      <c r="H103" s="51" t="s">
        <v>62</v>
      </c>
    </row>
    <row r="104" spans="1:8" ht="18" customHeight="1" x14ac:dyDescent="0.2">
      <c r="A104" s="58">
        <v>63</v>
      </c>
      <c r="B104" s="59">
        <v>17</v>
      </c>
      <c r="C104" s="60" t="s">
        <v>26</v>
      </c>
      <c r="D104" s="51" t="s">
        <v>70</v>
      </c>
      <c r="E104" s="51" t="s">
        <v>144</v>
      </c>
      <c r="F104" s="58" t="s">
        <v>72</v>
      </c>
      <c r="G104" s="61"/>
      <c r="H104" s="51" t="s">
        <v>62</v>
      </c>
    </row>
    <row r="105" spans="1:8" ht="18" customHeight="1" x14ac:dyDescent="0.2">
      <c r="A105" s="46">
        <v>64</v>
      </c>
      <c r="B105" s="47">
        <v>17</v>
      </c>
      <c r="C105" s="48" t="s">
        <v>26</v>
      </c>
      <c r="D105" s="49" t="s">
        <v>58</v>
      </c>
      <c r="E105" s="49" t="s">
        <v>145</v>
      </c>
      <c r="F105" s="46" t="s">
        <v>60</v>
      </c>
      <c r="G105" s="50"/>
      <c r="H105" s="51" t="s">
        <v>62</v>
      </c>
    </row>
    <row r="106" spans="1:8" ht="18" customHeight="1" x14ac:dyDescent="0.2">
      <c r="A106" s="46">
        <v>65</v>
      </c>
      <c r="B106" s="47">
        <v>17</v>
      </c>
      <c r="C106" s="48" t="s">
        <v>26</v>
      </c>
      <c r="D106" s="49" t="s">
        <v>58</v>
      </c>
      <c r="E106" s="49" t="s">
        <v>146</v>
      </c>
      <c r="F106" s="46" t="s">
        <v>60</v>
      </c>
      <c r="G106" s="50"/>
      <c r="H106" s="51" t="s">
        <v>62</v>
      </c>
    </row>
    <row r="107" spans="1:8" ht="6" customHeight="1" x14ac:dyDescent="0.2">
      <c r="A107" s="52"/>
      <c r="B107" s="52"/>
      <c r="C107" s="52"/>
      <c r="D107" s="52"/>
      <c r="E107" s="52"/>
      <c r="F107" s="52"/>
      <c r="G107" s="52"/>
      <c r="H107" s="52"/>
    </row>
    <row r="108" spans="1:8" ht="21.75" customHeight="1" x14ac:dyDescent="0.2">
      <c r="A108" s="7" t="s">
        <v>147</v>
      </c>
      <c r="B108" s="7"/>
      <c r="C108" s="7"/>
      <c r="D108" s="7"/>
      <c r="E108" s="7"/>
      <c r="F108" s="7"/>
      <c r="G108" s="7"/>
      <c r="H108" s="7"/>
    </row>
    <row r="109" spans="1:8" ht="18" customHeight="1" x14ac:dyDescent="0.2">
      <c r="A109" s="54" t="s">
        <v>66</v>
      </c>
      <c r="B109" s="54">
        <v>18</v>
      </c>
      <c r="C109" s="55" t="s">
        <v>27</v>
      </c>
      <c r="D109" s="56" t="s">
        <v>67</v>
      </c>
      <c r="E109" s="54" t="s">
        <v>66</v>
      </c>
      <c r="F109" s="54" t="s">
        <v>66</v>
      </c>
      <c r="G109" s="55" t="s">
        <v>66</v>
      </c>
      <c r="H109" s="57" t="s">
        <v>68</v>
      </c>
    </row>
    <row r="110" spans="1:8" ht="6" customHeight="1" x14ac:dyDescent="0.2">
      <c r="A110" s="52"/>
      <c r="B110" s="52"/>
      <c r="C110" s="52"/>
      <c r="D110" s="52"/>
      <c r="E110" s="52"/>
      <c r="F110" s="52"/>
      <c r="G110" s="52"/>
      <c r="H110" s="52"/>
    </row>
    <row r="111" spans="1:8" ht="21.75" customHeight="1" x14ac:dyDescent="0.2">
      <c r="A111" s="7" t="s">
        <v>148</v>
      </c>
      <c r="B111" s="7"/>
      <c r="C111" s="7"/>
      <c r="D111" s="7"/>
      <c r="E111" s="7"/>
      <c r="F111" s="7"/>
      <c r="G111" s="7"/>
      <c r="H111" s="7"/>
    </row>
    <row r="112" spans="1:8" ht="18" customHeight="1" x14ac:dyDescent="0.2">
      <c r="A112" s="54" t="s">
        <v>66</v>
      </c>
      <c r="B112" s="54">
        <v>19</v>
      </c>
      <c r="C112" s="55" t="s">
        <v>28</v>
      </c>
      <c r="D112" s="56" t="s">
        <v>67</v>
      </c>
      <c r="E112" s="54" t="s">
        <v>66</v>
      </c>
      <c r="F112" s="54" t="s">
        <v>66</v>
      </c>
      <c r="G112" s="55" t="s">
        <v>66</v>
      </c>
      <c r="H112" s="57" t="s">
        <v>68</v>
      </c>
    </row>
    <row r="113" spans="1:8" ht="6" customHeight="1" x14ac:dyDescent="0.2">
      <c r="A113" s="52"/>
      <c r="B113" s="52"/>
      <c r="C113" s="52"/>
      <c r="D113" s="52"/>
      <c r="E113" s="52"/>
      <c r="F113" s="52"/>
      <c r="G113" s="52"/>
      <c r="H113" s="52"/>
    </row>
    <row r="114" spans="1:8" ht="21.75" customHeight="1" x14ac:dyDescent="0.2">
      <c r="A114" s="7" t="s">
        <v>149</v>
      </c>
      <c r="B114" s="7"/>
      <c r="C114" s="7"/>
      <c r="D114" s="7"/>
      <c r="E114" s="7"/>
      <c r="F114" s="7"/>
      <c r="G114" s="7"/>
      <c r="H114" s="7"/>
    </row>
    <row r="115" spans="1:8" ht="18" customHeight="1" x14ac:dyDescent="0.2">
      <c r="A115" s="62">
        <v>66</v>
      </c>
      <c r="B115" s="63">
        <v>20</v>
      </c>
      <c r="C115" s="64" t="s">
        <v>29</v>
      </c>
      <c r="D115" s="65" t="s">
        <v>79</v>
      </c>
      <c r="E115" s="65" t="s">
        <v>150</v>
      </c>
      <c r="F115" s="62"/>
      <c r="G115" s="66"/>
      <c r="H115" s="51" t="s">
        <v>62</v>
      </c>
    </row>
    <row r="116" spans="1:8" ht="6" customHeight="1" x14ac:dyDescent="0.2">
      <c r="A116" s="52"/>
      <c r="B116" s="52"/>
      <c r="C116" s="52"/>
      <c r="D116" s="52"/>
      <c r="E116" s="52"/>
      <c r="F116" s="52"/>
      <c r="G116" s="52"/>
      <c r="H116" s="52"/>
    </row>
    <row r="117" spans="1:8" ht="21.75" customHeight="1" x14ac:dyDescent="0.2">
      <c r="A117" s="7" t="s">
        <v>151</v>
      </c>
      <c r="B117" s="7"/>
      <c r="C117" s="7"/>
      <c r="D117" s="7"/>
      <c r="E117" s="7"/>
      <c r="F117" s="7"/>
      <c r="G117" s="7"/>
      <c r="H117" s="7"/>
    </row>
    <row r="118" spans="1:8" ht="18" customHeight="1" x14ac:dyDescent="0.2">
      <c r="A118" s="62">
        <v>67</v>
      </c>
      <c r="B118" s="63">
        <v>21</v>
      </c>
      <c r="C118" s="64" t="s">
        <v>30</v>
      </c>
      <c r="D118" s="65" t="s">
        <v>79</v>
      </c>
      <c r="E118" s="65" t="s">
        <v>152</v>
      </c>
      <c r="F118" s="62"/>
      <c r="G118" s="66"/>
      <c r="H118" s="51" t="s">
        <v>62</v>
      </c>
    </row>
    <row r="119" spans="1:8" ht="6" customHeight="1" x14ac:dyDescent="0.2">
      <c r="A119" s="52"/>
      <c r="B119" s="52"/>
      <c r="C119" s="52"/>
      <c r="D119" s="52"/>
      <c r="E119" s="52"/>
      <c r="F119" s="52"/>
      <c r="G119" s="52"/>
      <c r="H119" s="52"/>
    </row>
    <row r="120" spans="1:8" ht="21.75" customHeight="1" x14ac:dyDescent="0.2">
      <c r="A120" s="7" t="s">
        <v>153</v>
      </c>
      <c r="B120" s="7"/>
      <c r="C120" s="7"/>
      <c r="D120" s="7"/>
      <c r="E120" s="7"/>
      <c r="F120" s="7"/>
      <c r="G120" s="7"/>
      <c r="H120" s="7"/>
    </row>
    <row r="121" spans="1:8" ht="18" customHeight="1" x14ac:dyDescent="0.2">
      <c r="A121" s="58">
        <v>68</v>
      </c>
      <c r="B121" s="59">
        <v>22</v>
      </c>
      <c r="C121" s="60" t="s">
        <v>31</v>
      </c>
      <c r="D121" s="51" t="s">
        <v>70</v>
      </c>
      <c r="E121" s="67" t="s">
        <v>64</v>
      </c>
      <c r="F121" s="58" t="s">
        <v>72</v>
      </c>
      <c r="G121" s="61"/>
      <c r="H121" s="51" t="s">
        <v>62</v>
      </c>
    </row>
    <row r="122" spans="1:8" ht="18" customHeight="1" x14ac:dyDescent="0.2">
      <c r="A122" s="62">
        <v>69</v>
      </c>
      <c r="B122" s="63">
        <v>22</v>
      </c>
      <c r="C122" s="64" t="s">
        <v>31</v>
      </c>
      <c r="D122" s="65" t="s">
        <v>79</v>
      </c>
      <c r="E122" s="68" t="s">
        <v>64</v>
      </c>
      <c r="F122" s="62"/>
      <c r="G122" s="66"/>
      <c r="H122" s="51" t="s">
        <v>62</v>
      </c>
    </row>
    <row r="123" spans="1:8" ht="18" customHeight="1" x14ac:dyDescent="0.2">
      <c r="A123" s="46">
        <v>70</v>
      </c>
      <c r="B123" s="47">
        <v>22</v>
      </c>
      <c r="C123" s="48" t="s">
        <v>31</v>
      </c>
      <c r="D123" s="49" t="s">
        <v>58</v>
      </c>
      <c r="E123" s="53" t="s">
        <v>64</v>
      </c>
      <c r="F123" s="46" t="s">
        <v>60</v>
      </c>
      <c r="G123" s="50"/>
      <c r="H123" s="51" t="s">
        <v>62</v>
      </c>
    </row>
    <row r="124" spans="1:8" ht="6" customHeight="1" x14ac:dyDescent="0.2">
      <c r="A124" s="52"/>
      <c r="B124" s="52"/>
      <c r="C124" s="52"/>
      <c r="D124" s="52"/>
      <c r="E124" s="52"/>
      <c r="F124" s="52"/>
      <c r="G124" s="52"/>
      <c r="H124" s="52"/>
    </row>
    <row r="125" spans="1:8" ht="21.75" customHeight="1" x14ac:dyDescent="0.2">
      <c r="A125" s="7" t="s">
        <v>154</v>
      </c>
      <c r="B125" s="7"/>
      <c r="C125" s="7"/>
      <c r="D125" s="7"/>
      <c r="E125" s="7"/>
      <c r="F125" s="7"/>
      <c r="G125" s="7"/>
      <c r="H125" s="7"/>
    </row>
    <row r="126" spans="1:8" ht="18" customHeight="1" x14ac:dyDescent="0.2">
      <c r="A126" s="54" t="s">
        <v>66</v>
      </c>
      <c r="B126" s="54">
        <v>23</v>
      </c>
      <c r="C126" s="55" t="s">
        <v>32</v>
      </c>
      <c r="D126" s="56" t="s">
        <v>67</v>
      </c>
      <c r="E126" s="54" t="s">
        <v>66</v>
      </c>
      <c r="F126" s="54" t="s">
        <v>66</v>
      </c>
      <c r="G126" s="55" t="s">
        <v>66</v>
      </c>
      <c r="H126" s="57" t="s">
        <v>68</v>
      </c>
    </row>
    <row r="127" spans="1:8" ht="6" customHeight="1" x14ac:dyDescent="0.2">
      <c r="A127" s="52"/>
      <c r="B127" s="52"/>
      <c r="C127" s="52"/>
      <c r="D127" s="52"/>
      <c r="E127" s="52"/>
      <c r="F127" s="52"/>
      <c r="G127" s="52"/>
      <c r="H127" s="52"/>
    </row>
    <row r="128" spans="1:8" ht="21.75" customHeight="1" x14ac:dyDescent="0.2">
      <c r="A128" s="7" t="s">
        <v>155</v>
      </c>
      <c r="B128" s="7"/>
      <c r="C128" s="7"/>
      <c r="D128" s="7"/>
      <c r="E128" s="7"/>
      <c r="F128" s="7"/>
      <c r="G128" s="7"/>
      <c r="H128" s="7"/>
    </row>
    <row r="129" spans="1:8" ht="18" customHeight="1" x14ac:dyDescent="0.2">
      <c r="A129" s="54" t="s">
        <v>66</v>
      </c>
      <c r="B129" s="54">
        <v>24</v>
      </c>
      <c r="C129" s="55" t="s">
        <v>33</v>
      </c>
      <c r="D129" s="56" t="s">
        <v>67</v>
      </c>
      <c r="E129" s="54" t="s">
        <v>66</v>
      </c>
      <c r="F129" s="54" t="s">
        <v>66</v>
      </c>
      <c r="G129" s="55" t="s">
        <v>66</v>
      </c>
      <c r="H129" s="57" t="s">
        <v>68</v>
      </c>
    </row>
    <row r="130" spans="1:8" ht="6" customHeight="1" x14ac:dyDescent="0.2">
      <c r="A130" s="52"/>
      <c r="B130" s="52"/>
      <c r="C130" s="52"/>
      <c r="D130" s="52"/>
      <c r="E130" s="52"/>
      <c r="F130" s="52"/>
      <c r="G130" s="52"/>
      <c r="H130" s="52"/>
    </row>
    <row r="131" spans="1:8" ht="21.75" customHeight="1" x14ac:dyDescent="0.2">
      <c r="A131" s="7" t="s">
        <v>156</v>
      </c>
      <c r="B131" s="7"/>
      <c r="C131" s="7"/>
      <c r="D131" s="7"/>
      <c r="E131" s="7"/>
      <c r="F131" s="7"/>
      <c r="G131" s="7"/>
      <c r="H131" s="7"/>
    </row>
    <row r="132" spans="1:8" ht="18" customHeight="1" x14ac:dyDescent="0.2">
      <c r="A132" s="54" t="s">
        <v>66</v>
      </c>
      <c r="B132" s="54">
        <v>25</v>
      </c>
      <c r="C132" s="55" t="s">
        <v>34</v>
      </c>
      <c r="D132" s="56" t="s">
        <v>67</v>
      </c>
      <c r="E132" s="54" t="s">
        <v>66</v>
      </c>
      <c r="F132" s="54" t="s">
        <v>66</v>
      </c>
      <c r="G132" s="55" t="s">
        <v>66</v>
      </c>
      <c r="H132" s="57" t="s">
        <v>68</v>
      </c>
    </row>
    <row r="133" spans="1:8" ht="6" customHeight="1" x14ac:dyDescent="0.2">
      <c r="A133" s="52"/>
      <c r="B133" s="52"/>
      <c r="C133" s="52"/>
      <c r="D133" s="52"/>
      <c r="E133" s="52"/>
      <c r="F133" s="52"/>
      <c r="G133" s="52"/>
      <c r="H133" s="52"/>
    </row>
    <row r="134" spans="1:8" ht="21.75" customHeight="1" x14ac:dyDescent="0.2">
      <c r="A134" s="6" t="s">
        <v>157</v>
      </c>
      <c r="B134" s="6"/>
      <c r="C134" s="6"/>
      <c r="D134" s="6"/>
      <c r="E134" s="6"/>
      <c r="F134" s="6"/>
      <c r="G134" s="6"/>
      <c r="H134" s="6"/>
    </row>
    <row r="135" spans="1:8" ht="18" customHeight="1" x14ac:dyDescent="0.2">
      <c r="A135" s="46">
        <v>71</v>
      </c>
      <c r="B135" s="47">
        <v>26</v>
      </c>
      <c r="C135" s="48" t="s">
        <v>36</v>
      </c>
      <c r="D135" s="49" t="s">
        <v>58</v>
      </c>
      <c r="E135" s="53" t="s">
        <v>64</v>
      </c>
      <c r="F135" s="46" t="s">
        <v>60</v>
      </c>
      <c r="G135" s="50"/>
      <c r="H135" s="51" t="s">
        <v>62</v>
      </c>
    </row>
    <row r="136" spans="1:8" ht="6" customHeight="1" x14ac:dyDescent="0.2">
      <c r="A136" s="52"/>
      <c r="B136" s="52"/>
      <c r="C136" s="52"/>
      <c r="D136" s="52"/>
      <c r="E136" s="52"/>
      <c r="F136" s="52"/>
      <c r="G136" s="52"/>
      <c r="H136" s="52"/>
    </row>
    <row r="137" spans="1:8" ht="21.75" customHeight="1" x14ac:dyDescent="0.2">
      <c r="A137" s="6" t="s">
        <v>158</v>
      </c>
      <c r="B137" s="6"/>
      <c r="C137" s="6"/>
      <c r="D137" s="6"/>
      <c r="E137" s="6"/>
      <c r="F137" s="6"/>
      <c r="G137" s="6"/>
      <c r="H137" s="6"/>
    </row>
    <row r="138" spans="1:8" ht="18" customHeight="1" x14ac:dyDescent="0.2">
      <c r="A138" s="54" t="s">
        <v>66</v>
      </c>
      <c r="B138" s="54">
        <v>27</v>
      </c>
      <c r="C138" s="55" t="s">
        <v>37</v>
      </c>
      <c r="D138" s="56" t="s">
        <v>67</v>
      </c>
      <c r="E138" s="54" t="s">
        <v>66</v>
      </c>
      <c r="F138" s="54" t="s">
        <v>66</v>
      </c>
      <c r="G138" s="55" t="s">
        <v>66</v>
      </c>
      <c r="H138" s="57" t="s">
        <v>68</v>
      </c>
    </row>
    <row r="139" spans="1:8" ht="6" customHeight="1" x14ac:dyDescent="0.2">
      <c r="A139" s="52"/>
      <c r="B139" s="52"/>
      <c r="C139" s="52"/>
      <c r="D139" s="52"/>
      <c r="E139" s="52"/>
      <c r="F139" s="52"/>
      <c r="G139" s="52"/>
      <c r="H139" s="52"/>
    </row>
    <row r="140" spans="1:8" ht="21.75" customHeight="1" x14ac:dyDescent="0.2">
      <c r="A140" s="6" t="s">
        <v>159</v>
      </c>
      <c r="B140" s="6"/>
      <c r="C140" s="6"/>
      <c r="D140" s="6"/>
      <c r="E140" s="6"/>
      <c r="F140" s="6"/>
      <c r="G140" s="6"/>
      <c r="H140" s="6"/>
    </row>
    <row r="141" spans="1:8" ht="18" customHeight="1" x14ac:dyDescent="0.2">
      <c r="A141" s="46">
        <v>72</v>
      </c>
      <c r="B141" s="47">
        <v>28</v>
      </c>
      <c r="C141" s="48" t="s">
        <v>38</v>
      </c>
      <c r="D141" s="49" t="s">
        <v>58</v>
      </c>
      <c r="E141" s="53" t="s">
        <v>64</v>
      </c>
      <c r="F141" s="46" t="s">
        <v>60</v>
      </c>
      <c r="G141" s="50"/>
      <c r="H141" s="51" t="s">
        <v>62</v>
      </c>
    </row>
    <row r="142" spans="1:8" ht="6" customHeight="1" x14ac:dyDescent="0.2">
      <c r="A142" s="52"/>
      <c r="B142" s="52"/>
      <c r="C142" s="52"/>
      <c r="D142" s="52"/>
      <c r="E142" s="52"/>
      <c r="F142" s="52"/>
      <c r="G142" s="52"/>
      <c r="H142" s="52"/>
    </row>
    <row r="143" spans="1:8" ht="21.75" customHeight="1" x14ac:dyDescent="0.2">
      <c r="A143" s="6" t="s">
        <v>160</v>
      </c>
      <c r="B143" s="6"/>
      <c r="C143" s="6"/>
      <c r="D143" s="6"/>
      <c r="E143" s="6"/>
      <c r="F143" s="6"/>
      <c r="G143" s="6"/>
      <c r="H143" s="6"/>
    </row>
    <row r="144" spans="1:8" ht="18" customHeight="1" x14ac:dyDescent="0.2">
      <c r="A144" s="46">
        <v>73</v>
      </c>
      <c r="B144" s="47">
        <v>29</v>
      </c>
      <c r="C144" s="48" t="s">
        <v>39</v>
      </c>
      <c r="D144" s="49" t="s">
        <v>58</v>
      </c>
      <c r="E144" s="53" t="s">
        <v>64</v>
      </c>
      <c r="F144" s="46" t="s">
        <v>60</v>
      </c>
      <c r="G144" s="50"/>
      <c r="H144" s="51" t="s">
        <v>62</v>
      </c>
    </row>
    <row r="145" spans="1:8" ht="6" customHeight="1" x14ac:dyDescent="0.2">
      <c r="A145" s="52"/>
      <c r="B145" s="52"/>
      <c r="C145" s="52"/>
      <c r="D145" s="52"/>
      <c r="E145" s="52"/>
      <c r="F145" s="52"/>
      <c r="G145" s="52"/>
      <c r="H145" s="52"/>
    </row>
    <row r="146" spans="1:8" ht="21.75" customHeight="1" x14ac:dyDescent="0.2">
      <c r="A146" s="6" t="s">
        <v>161</v>
      </c>
      <c r="B146" s="6"/>
      <c r="C146" s="6"/>
      <c r="D146" s="6"/>
      <c r="E146" s="6"/>
      <c r="F146" s="6"/>
      <c r="G146" s="6"/>
      <c r="H146" s="6"/>
    </row>
    <row r="147" spans="1:8" ht="18" customHeight="1" x14ac:dyDescent="0.2">
      <c r="A147" s="46">
        <v>74</v>
      </c>
      <c r="B147" s="47">
        <v>30</v>
      </c>
      <c r="C147" s="48" t="s">
        <v>40</v>
      </c>
      <c r="D147" s="49" t="s">
        <v>58</v>
      </c>
      <c r="E147" s="49" t="s">
        <v>162</v>
      </c>
      <c r="F147" s="46" t="s">
        <v>60</v>
      </c>
      <c r="G147" s="50"/>
      <c r="H147" s="51" t="s">
        <v>62</v>
      </c>
    </row>
    <row r="148" spans="1:8" ht="18" customHeight="1" x14ac:dyDescent="0.2">
      <c r="A148" s="46">
        <v>75</v>
      </c>
      <c r="B148" s="47">
        <v>30</v>
      </c>
      <c r="C148" s="48" t="s">
        <v>40</v>
      </c>
      <c r="D148" s="49" t="s">
        <v>58</v>
      </c>
      <c r="E148" s="49" t="s">
        <v>163</v>
      </c>
      <c r="F148" s="46" t="s">
        <v>60</v>
      </c>
      <c r="G148" s="50"/>
      <c r="H148" s="51" t="s">
        <v>62</v>
      </c>
    </row>
    <row r="149" spans="1:8" ht="18" customHeight="1" x14ac:dyDescent="0.2">
      <c r="A149" s="46">
        <v>76</v>
      </c>
      <c r="B149" s="47">
        <v>30</v>
      </c>
      <c r="C149" s="48" t="s">
        <v>40</v>
      </c>
      <c r="D149" s="49" t="s">
        <v>58</v>
      </c>
      <c r="E149" s="49" t="s">
        <v>164</v>
      </c>
      <c r="F149" s="46" t="s">
        <v>60</v>
      </c>
      <c r="G149" s="50"/>
      <c r="H149" s="51" t="s">
        <v>62</v>
      </c>
    </row>
    <row r="150" spans="1:8" ht="18" customHeight="1" x14ac:dyDescent="0.2">
      <c r="A150" s="46">
        <v>77</v>
      </c>
      <c r="B150" s="47">
        <v>30</v>
      </c>
      <c r="C150" s="48" t="s">
        <v>40</v>
      </c>
      <c r="D150" s="49" t="s">
        <v>58</v>
      </c>
      <c r="E150" s="49" t="s">
        <v>165</v>
      </c>
      <c r="F150" s="46" t="s">
        <v>60</v>
      </c>
      <c r="G150" s="50"/>
      <c r="H150" s="51" t="s">
        <v>62</v>
      </c>
    </row>
    <row r="151" spans="1:8" ht="6" customHeight="1" x14ac:dyDescent="0.2">
      <c r="A151" s="52"/>
      <c r="B151" s="52"/>
      <c r="C151" s="52"/>
      <c r="D151" s="52"/>
      <c r="E151" s="52"/>
      <c r="F151" s="52"/>
      <c r="G151" s="52"/>
      <c r="H151" s="52"/>
    </row>
    <row r="152" spans="1:8" ht="21.75" customHeight="1" x14ac:dyDescent="0.2">
      <c r="A152" s="6" t="s">
        <v>166</v>
      </c>
      <c r="B152" s="6"/>
      <c r="C152" s="6"/>
      <c r="D152" s="6"/>
      <c r="E152" s="6"/>
      <c r="F152" s="6"/>
      <c r="G152" s="6"/>
      <c r="H152" s="6"/>
    </row>
    <row r="153" spans="1:8" ht="18" customHeight="1" x14ac:dyDescent="0.2">
      <c r="A153" s="46">
        <v>78</v>
      </c>
      <c r="B153" s="47">
        <v>31</v>
      </c>
      <c r="C153" s="48" t="s">
        <v>41</v>
      </c>
      <c r="D153" s="49" t="s">
        <v>58</v>
      </c>
      <c r="E153" s="49" t="s">
        <v>167</v>
      </c>
      <c r="F153" s="46" t="s">
        <v>60</v>
      </c>
      <c r="G153" s="50"/>
      <c r="H153" s="51" t="s">
        <v>62</v>
      </c>
    </row>
    <row r="154" spans="1:8" ht="18" customHeight="1" x14ac:dyDescent="0.2">
      <c r="A154" s="46">
        <v>79</v>
      </c>
      <c r="B154" s="47">
        <v>31</v>
      </c>
      <c r="C154" s="48" t="s">
        <v>41</v>
      </c>
      <c r="D154" s="49" t="s">
        <v>58</v>
      </c>
      <c r="E154" s="49" t="s">
        <v>168</v>
      </c>
      <c r="F154" s="46" t="s">
        <v>60</v>
      </c>
      <c r="G154" s="50"/>
      <c r="H154" s="51" t="s">
        <v>62</v>
      </c>
    </row>
    <row r="155" spans="1:8" ht="6" customHeight="1" x14ac:dyDescent="0.2">
      <c r="A155" s="52"/>
      <c r="B155" s="52"/>
      <c r="C155" s="52"/>
      <c r="D155" s="52"/>
      <c r="E155" s="52"/>
      <c r="F155" s="52"/>
      <c r="G155" s="52"/>
      <c r="H155" s="52"/>
    </row>
    <row r="156" spans="1:8" ht="21.75" customHeight="1" x14ac:dyDescent="0.2">
      <c r="A156" s="6" t="s">
        <v>169</v>
      </c>
      <c r="B156" s="6"/>
      <c r="C156" s="6"/>
      <c r="D156" s="6"/>
      <c r="E156" s="6"/>
      <c r="F156" s="6"/>
      <c r="G156" s="6"/>
      <c r="H156" s="6"/>
    </row>
    <row r="157" spans="1:8" ht="18" customHeight="1" x14ac:dyDescent="0.2">
      <c r="A157" s="46">
        <v>80</v>
      </c>
      <c r="B157" s="47">
        <v>32</v>
      </c>
      <c r="C157" s="48" t="s">
        <v>42</v>
      </c>
      <c r="D157" s="49" t="s">
        <v>58</v>
      </c>
      <c r="E157" s="53" t="s">
        <v>64</v>
      </c>
      <c r="F157" s="46" t="s">
        <v>60</v>
      </c>
      <c r="G157" s="50"/>
      <c r="H157" s="51" t="s">
        <v>62</v>
      </c>
    </row>
    <row r="158" spans="1:8" ht="6" customHeight="1" x14ac:dyDescent="0.2">
      <c r="A158" s="52"/>
      <c r="B158" s="52"/>
      <c r="C158" s="52"/>
      <c r="D158" s="52"/>
      <c r="E158" s="52"/>
      <c r="F158" s="52"/>
      <c r="G158" s="52"/>
      <c r="H158" s="52"/>
    </row>
    <row r="159" spans="1:8" ht="21.75" customHeight="1" x14ac:dyDescent="0.2">
      <c r="A159" s="5" t="s">
        <v>170</v>
      </c>
      <c r="B159" s="5"/>
      <c r="C159" s="5"/>
      <c r="D159" s="5"/>
      <c r="E159" s="5"/>
      <c r="F159" s="5"/>
      <c r="G159" s="5"/>
      <c r="H159" s="5"/>
    </row>
    <row r="160" spans="1:8" ht="18" customHeight="1" x14ac:dyDescent="0.2">
      <c r="A160" s="46">
        <v>81</v>
      </c>
      <c r="B160" s="47">
        <v>33</v>
      </c>
      <c r="C160" s="48" t="s">
        <v>44</v>
      </c>
      <c r="D160" s="49" t="s">
        <v>58</v>
      </c>
      <c r="E160" s="49" t="s">
        <v>171</v>
      </c>
      <c r="F160" s="46" t="s">
        <v>60</v>
      </c>
      <c r="G160" s="50"/>
      <c r="H160" s="51" t="s">
        <v>62</v>
      </c>
    </row>
    <row r="161" spans="1:8" ht="18" customHeight="1" x14ac:dyDescent="0.2">
      <c r="A161" s="46">
        <v>82</v>
      </c>
      <c r="B161" s="47">
        <v>33</v>
      </c>
      <c r="C161" s="48" t="s">
        <v>44</v>
      </c>
      <c r="D161" s="49" t="s">
        <v>58</v>
      </c>
      <c r="E161" s="49" t="s">
        <v>172</v>
      </c>
      <c r="F161" s="46" t="s">
        <v>60</v>
      </c>
      <c r="G161" s="50"/>
      <c r="H161" s="51" t="s">
        <v>62</v>
      </c>
    </row>
    <row r="162" spans="1:8" ht="6" customHeight="1" x14ac:dyDescent="0.2">
      <c r="A162" s="52"/>
      <c r="B162" s="52"/>
      <c r="C162" s="52"/>
      <c r="D162" s="52"/>
      <c r="E162" s="52"/>
      <c r="F162" s="52"/>
      <c r="G162" s="52"/>
      <c r="H162" s="52"/>
    </row>
    <row r="163" spans="1:8" ht="21.75" customHeight="1" x14ac:dyDescent="0.2">
      <c r="A163" s="5" t="s">
        <v>173</v>
      </c>
      <c r="B163" s="5"/>
      <c r="C163" s="5"/>
      <c r="D163" s="5"/>
      <c r="E163" s="5"/>
      <c r="F163" s="5"/>
      <c r="G163" s="5"/>
      <c r="H163" s="5"/>
    </row>
    <row r="164" spans="1:8" ht="18" customHeight="1" x14ac:dyDescent="0.2">
      <c r="A164" s="46">
        <v>83</v>
      </c>
      <c r="B164" s="47">
        <v>34</v>
      </c>
      <c r="C164" s="48" t="s">
        <v>45</v>
      </c>
      <c r="D164" s="49" t="s">
        <v>58</v>
      </c>
      <c r="E164" s="49" t="s">
        <v>174</v>
      </c>
      <c r="F164" s="46" t="s">
        <v>60</v>
      </c>
      <c r="G164" s="50"/>
      <c r="H164" s="51" t="s">
        <v>62</v>
      </c>
    </row>
    <row r="165" spans="1:8" ht="18" customHeight="1" x14ac:dyDescent="0.2">
      <c r="A165" s="46">
        <v>84</v>
      </c>
      <c r="B165" s="47">
        <v>34</v>
      </c>
      <c r="C165" s="48" t="s">
        <v>45</v>
      </c>
      <c r="D165" s="49" t="s">
        <v>58</v>
      </c>
      <c r="E165" s="49" t="s">
        <v>175</v>
      </c>
      <c r="F165" s="46" t="s">
        <v>60</v>
      </c>
      <c r="G165" s="50"/>
      <c r="H165" s="51" t="s">
        <v>62</v>
      </c>
    </row>
    <row r="166" spans="1:8" ht="6" customHeight="1" x14ac:dyDescent="0.2">
      <c r="A166" s="52"/>
      <c r="B166" s="52"/>
      <c r="C166" s="52"/>
      <c r="D166" s="52"/>
      <c r="E166" s="52"/>
      <c r="F166" s="52"/>
      <c r="G166" s="52"/>
      <c r="H166" s="52"/>
    </row>
    <row r="167" spans="1:8" ht="21.75" customHeight="1" x14ac:dyDescent="0.2">
      <c r="A167" s="5" t="s">
        <v>176</v>
      </c>
      <c r="B167" s="5"/>
      <c r="C167" s="5"/>
      <c r="D167" s="5"/>
      <c r="E167" s="5"/>
      <c r="F167" s="5"/>
      <c r="G167" s="5"/>
      <c r="H167" s="5"/>
    </row>
    <row r="168" spans="1:8" ht="18" customHeight="1" x14ac:dyDescent="0.2">
      <c r="A168" s="54" t="s">
        <v>66</v>
      </c>
      <c r="B168" s="54">
        <v>35</v>
      </c>
      <c r="C168" s="55" t="s">
        <v>46</v>
      </c>
      <c r="D168" s="56" t="s">
        <v>67</v>
      </c>
      <c r="E168" s="54" t="s">
        <v>66</v>
      </c>
      <c r="F168" s="54" t="s">
        <v>66</v>
      </c>
      <c r="G168" s="55" t="s">
        <v>66</v>
      </c>
      <c r="H168" s="57" t="s">
        <v>68</v>
      </c>
    </row>
    <row r="169" spans="1:8" ht="6" customHeight="1" x14ac:dyDescent="0.2">
      <c r="A169" s="52"/>
      <c r="B169" s="52"/>
      <c r="C169" s="52"/>
      <c r="D169" s="52"/>
      <c r="E169" s="52"/>
      <c r="F169" s="52"/>
      <c r="G169" s="52"/>
      <c r="H169" s="52"/>
    </row>
  </sheetData>
  <mergeCells count="36">
    <mergeCell ref="A167:H167"/>
    <mergeCell ref="A146:H146"/>
    <mergeCell ref="A152:H152"/>
    <mergeCell ref="A156:H156"/>
    <mergeCell ref="A159:H159"/>
    <mergeCell ref="A163:H163"/>
    <mergeCell ref="A131:H131"/>
    <mergeCell ref="A134:H134"/>
    <mergeCell ref="A137:H137"/>
    <mergeCell ref="A140:H140"/>
    <mergeCell ref="A143:H143"/>
    <mergeCell ref="A114:H114"/>
    <mergeCell ref="A117:H117"/>
    <mergeCell ref="A120:H120"/>
    <mergeCell ref="A125:H125"/>
    <mergeCell ref="A128:H128"/>
    <mergeCell ref="A96:H96"/>
    <mergeCell ref="A99:H99"/>
    <mergeCell ref="A102:H102"/>
    <mergeCell ref="A108:H108"/>
    <mergeCell ref="A111:H111"/>
    <mergeCell ref="A78:H78"/>
    <mergeCell ref="A82:H82"/>
    <mergeCell ref="A86:H86"/>
    <mergeCell ref="A89:H89"/>
    <mergeCell ref="A93:H93"/>
    <mergeCell ref="A36:H36"/>
    <mergeCell ref="A61:H61"/>
    <mergeCell ref="A64:H64"/>
    <mergeCell ref="A68:H68"/>
    <mergeCell ref="A74:H74"/>
    <mergeCell ref="A1:H1"/>
    <mergeCell ref="A5:H5"/>
    <mergeCell ref="A8:H8"/>
    <mergeCell ref="A11:H11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L55"/>
  <sheetViews>
    <sheetView tabSelected="1" zoomScaleNormal="100" workbookViewId="0">
      <pane xSplit="1" ySplit="10" topLeftCell="B24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8" customWidth="1"/>
    <col min="4" max="4" width="30" customWidth="1"/>
    <col min="5" max="5" width="8" customWidth="1"/>
    <col min="6" max="7" width="18" customWidth="1"/>
    <col min="8" max="8" width="14" customWidth="1"/>
    <col min="9" max="9" width="22" customWidth="1"/>
    <col min="10" max="10" width="20" customWidth="1"/>
    <col min="11" max="11" width="14" customWidth="1"/>
    <col min="12" max="12" width="20" customWidth="1"/>
  </cols>
  <sheetData>
    <row r="1" spans="1:12" ht="6" customHeight="1" x14ac:dyDescent="0.2"/>
    <row r="2" spans="1:12" ht="45" customHeight="1" x14ac:dyDescent="0.2">
      <c r="A2" s="4" t="s">
        <v>177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7.5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7.5" customHeight="1" x14ac:dyDescent="0.2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7.5" customHeight="1" x14ac:dyDescent="0.2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24" customHeight="1" x14ac:dyDescent="0.2">
      <c r="A6" s="70"/>
      <c r="B6" s="71" t="s">
        <v>178</v>
      </c>
      <c r="C6" s="72"/>
      <c r="D6" s="3" t="s">
        <v>179</v>
      </c>
      <c r="E6" s="3"/>
      <c r="F6" s="3"/>
      <c r="G6" s="71" t="s">
        <v>180</v>
      </c>
      <c r="H6" s="3" t="s">
        <v>181</v>
      </c>
      <c r="I6" s="3"/>
      <c r="J6" s="3"/>
      <c r="K6" s="70"/>
      <c r="L6" s="70"/>
    </row>
    <row r="7" spans="1:12" ht="21.75" customHeight="1" x14ac:dyDescent="0.2">
      <c r="A7" s="70"/>
      <c r="B7" s="71" t="s">
        <v>182</v>
      </c>
      <c r="C7" s="72"/>
      <c r="D7" s="2" t="s">
        <v>183</v>
      </c>
      <c r="E7" s="2"/>
      <c r="F7" s="2"/>
      <c r="G7" s="2"/>
      <c r="H7" s="2"/>
      <c r="I7" s="2"/>
      <c r="J7" s="2"/>
      <c r="K7" s="70"/>
      <c r="L7" s="70"/>
    </row>
    <row r="8" spans="1:12" ht="21.75" customHeight="1" x14ac:dyDescent="0.2">
      <c r="A8" s="70"/>
      <c r="B8" s="71" t="s">
        <v>184</v>
      </c>
      <c r="C8" s="72"/>
      <c r="D8" s="2" t="s">
        <v>185</v>
      </c>
      <c r="E8" s="2"/>
      <c r="F8" s="2"/>
      <c r="G8" s="2"/>
      <c r="H8" s="2"/>
      <c r="I8" s="2"/>
      <c r="J8" s="2"/>
      <c r="K8" s="70"/>
      <c r="L8" s="70"/>
    </row>
    <row r="9" spans="1:12" ht="24" customHeight="1" x14ac:dyDescent="0.2">
      <c r="A9" s="73"/>
      <c r="B9" s="73"/>
      <c r="C9" s="73"/>
      <c r="D9" s="73"/>
      <c r="E9" s="73"/>
      <c r="F9" s="73"/>
      <c r="G9" s="73"/>
      <c r="H9" s="73"/>
      <c r="I9" s="1" t="str">
        <f>HYPERLINK("#'Main Inventory'!A1","&lt;&lt; Back to Main Inventory")</f>
        <v>&lt;&lt; Back to Main Inventory</v>
      </c>
      <c r="J9" s="1"/>
      <c r="K9" s="1"/>
      <c r="L9" s="1"/>
    </row>
    <row r="10" spans="1:12" ht="36" customHeight="1" x14ac:dyDescent="0.2">
      <c r="A10" s="74"/>
      <c r="B10" s="74" t="s">
        <v>3</v>
      </c>
      <c r="C10" s="74" t="s">
        <v>2</v>
      </c>
      <c r="D10" s="74" t="s">
        <v>4</v>
      </c>
      <c r="E10" s="74" t="s">
        <v>186</v>
      </c>
      <c r="F10" s="74" t="s">
        <v>187</v>
      </c>
      <c r="G10" s="74" t="s">
        <v>188</v>
      </c>
      <c r="H10" s="74" t="s">
        <v>189</v>
      </c>
      <c r="I10" s="74" t="s">
        <v>56</v>
      </c>
      <c r="J10" s="74" t="s">
        <v>190</v>
      </c>
      <c r="K10" s="74" t="s">
        <v>191</v>
      </c>
      <c r="L10" s="74" t="s">
        <v>56</v>
      </c>
    </row>
    <row r="11" spans="1:12" ht="18" customHeight="1" x14ac:dyDescent="0.2">
      <c r="A11" s="75"/>
      <c r="B11" s="76" t="s">
        <v>7</v>
      </c>
      <c r="C11" s="28">
        <v>1</v>
      </c>
      <c r="D11" s="29" t="s">
        <v>8</v>
      </c>
      <c r="E11" s="77" t="s">
        <v>192</v>
      </c>
      <c r="F11" s="78"/>
      <c r="G11" s="78"/>
      <c r="H11" s="78"/>
      <c r="I11" s="78"/>
      <c r="J11" s="78"/>
      <c r="K11" s="78"/>
      <c r="L11" s="78"/>
    </row>
    <row r="12" spans="1:12" ht="18" customHeight="1" x14ac:dyDescent="0.2">
      <c r="A12" s="79"/>
      <c r="B12" s="80"/>
      <c r="C12" s="81">
        <v>2</v>
      </c>
      <c r="D12" s="82" t="s">
        <v>9</v>
      </c>
      <c r="E12" s="83" t="s">
        <v>192</v>
      </c>
      <c r="F12" s="80"/>
      <c r="G12" s="80"/>
      <c r="H12" s="80"/>
      <c r="I12" s="80"/>
      <c r="J12" s="80"/>
      <c r="K12" s="80"/>
      <c r="L12" s="80"/>
    </row>
    <row r="13" spans="1:12" ht="18" customHeight="1" x14ac:dyDescent="0.2">
      <c r="A13" s="75"/>
      <c r="B13" s="78"/>
      <c r="C13" s="28">
        <v>3</v>
      </c>
      <c r="D13" s="29" t="s">
        <v>10</v>
      </c>
      <c r="E13" s="77" t="s">
        <v>192</v>
      </c>
      <c r="F13" s="78"/>
      <c r="G13" s="78"/>
      <c r="H13" s="78"/>
      <c r="I13" s="78"/>
      <c r="J13" s="78"/>
      <c r="K13" s="78"/>
      <c r="L13" s="78"/>
    </row>
    <row r="14" spans="1:12" ht="18" customHeight="1" x14ac:dyDescent="0.2">
      <c r="A14" s="79"/>
      <c r="B14" s="84" t="s">
        <v>11</v>
      </c>
      <c r="C14" s="81">
        <v>4</v>
      </c>
      <c r="D14" s="82" t="s">
        <v>12</v>
      </c>
      <c r="E14" s="57">
        <v>5</v>
      </c>
      <c r="F14" s="85" t="s">
        <v>71</v>
      </c>
      <c r="G14" s="85" t="s">
        <v>71</v>
      </c>
      <c r="H14" s="85" t="s">
        <v>72</v>
      </c>
      <c r="I14" s="86" t="s">
        <v>73</v>
      </c>
      <c r="J14" s="80"/>
      <c r="K14" s="80"/>
      <c r="L14" s="80"/>
    </row>
    <row r="15" spans="1:12" ht="18" customHeight="1" x14ac:dyDescent="0.2">
      <c r="A15" s="79"/>
      <c r="B15" s="80"/>
      <c r="C15" s="80"/>
      <c r="D15" s="80"/>
      <c r="E15" s="80"/>
      <c r="F15" s="85" t="s">
        <v>74</v>
      </c>
      <c r="G15" s="85" t="s">
        <v>74</v>
      </c>
      <c r="H15" s="85" t="s">
        <v>72</v>
      </c>
      <c r="I15" s="86" t="s">
        <v>73</v>
      </c>
      <c r="J15" s="80"/>
      <c r="K15" s="80"/>
      <c r="L15" s="80"/>
    </row>
    <row r="16" spans="1:12" ht="18" customHeight="1" x14ac:dyDescent="0.2">
      <c r="A16" s="79"/>
      <c r="B16" s="80"/>
      <c r="C16" s="80"/>
      <c r="D16" s="80"/>
      <c r="E16" s="80"/>
      <c r="F16" s="85" t="s">
        <v>75</v>
      </c>
      <c r="G16" s="85" t="s">
        <v>75</v>
      </c>
      <c r="H16" s="85" t="s">
        <v>72</v>
      </c>
      <c r="I16" s="86" t="s">
        <v>73</v>
      </c>
      <c r="J16" s="80"/>
      <c r="K16" s="80"/>
      <c r="L16" s="80"/>
    </row>
    <row r="17" spans="1:12" ht="18" customHeight="1" x14ac:dyDescent="0.2">
      <c r="A17" s="79"/>
      <c r="B17" s="80"/>
      <c r="C17" s="80"/>
      <c r="D17" s="80"/>
      <c r="E17" s="80"/>
      <c r="F17" s="85" t="s">
        <v>76</v>
      </c>
      <c r="G17" s="85" t="s">
        <v>76</v>
      </c>
      <c r="H17" s="85" t="s">
        <v>72</v>
      </c>
      <c r="I17" s="86" t="s">
        <v>77</v>
      </c>
      <c r="J17" s="80"/>
      <c r="K17" s="80"/>
      <c r="L17" s="80"/>
    </row>
    <row r="18" spans="1:12" ht="18" customHeight="1" x14ac:dyDescent="0.2">
      <c r="A18" s="79"/>
      <c r="B18" s="80"/>
      <c r="C18" s="80"/>
      <c r="D18" s="80"/>
      <c r="E18" s="80"/>
      <c r="F18" s="85" t="s">
        <v>78</v>
      </c>
      <c r="G18" s="85" t="s">
        <v>78</v>
      </c>
      <c r="H18" s="85" t="s">
        <v>72</v>
      </c>
      <c r="I18" s="86" t="s">
        <v>77</v>
      </c>
      <c r="J18" s="80"/>
      <c r="K18" s="80"/>
      <c r="L18" s="80"/>
    </row>
    <row r="19" spans="1:12" ht="18" customHeight="1" x14ac:dyDescent="0.2">
      <c r="A19" s="75"/>
      <c r="B19" s="78"/>
      <c r="C19" s="28">
        <v>5</v>
      </c>
      <c r="D19" s="29" t="s">
        <v>13</v>
      </c>
      <c r="E19" s="57">
        <v>6</v>
      </c>
      <c r="F19" s="87" t="s">
        <v>99</v>
      </c>
      <c r="G19" s="87" t="s">
        <v>99</v>
      </c>
      <c r="H19" s="87" t="s">
        <v>72</v>
      </c>
      <c r="I19" s="88" t="s">
        <v>100</v>
      </c>
      <c r="J19" s="78"/>
      <c r="K19" s="78"/>
      <c r="L19" s="78"/>
    </row>
    <row r="20" spans="1:12" ht="18" customHeight="1" x14ac:dyDescent="0.2">
      <c r="A20" s="75"/>
      <c r="B20" s="78"/>
      <c r="C20" s="78"/>
      <c r="D20" s="78"/>
      <c r="E20" s="78"/>
      <c r="F20" s="87" t="s">
        <v>101</v>
      </c>
      <c r="G20" s="87" t="s">
        <v>101</v>
      </c>
      <c r="H20" s="87" t="s">
        <v>72</v>
      </c>
      <c r="I20" s="88"/>
      <c r="J20" s="78"/>
      <c r="K20" s="78"/>
      <c r="L20" s="78"/>
    </row>
    <row r="21" spans="1:12" ht="18" customHeight="1" x14ac:dyDescent="0.2">
      <c r="A21" s="75"/>
      <c r="B21" s="78"/>
      <c r="C21" s="78"/>
      <c r="D21" s="78"/>
      <c r="E21" s="78"/>
      <c r="F21" s="87" t="s">
        <v>102</v>
      </c>
      <c r="G21" s="87" t="s">
        <v>102</v>
      </c>
      <c r="H21" s="87" t="s">
        <v>72</v>
      </c>
      <c r="I21" s="88"/>
      <c r="J21" s="78"/>
      <c r="K21" s="78"/>
      <c r="L21" s="78"/>
    </row>
    <row r="22" spans="1:12" ht="18" customHeight="1" x14ac:dyDescent="0.2">
      <c r="A22" s="75"/>
      <c r="B22" s="78"/>
      <c r="C22" s="78"/>
      <c r="D22" s="78"/>
      <c r="E22" s="78"/>
      <c r="F22" s="87" t="s">
        <v>103</v>
      </c>
      <c r="G22" s="87" t="s">
        <v>103</v>
      </c>
      <c r="H22" s="87" t="s">
        <v>72</v>
      </c>
      <c r="I22" s="88"/>
      <c r="J22" s="78"/>
      <c r="K22" s="78"/>
      <c r="L22" s="78"/>
    </row>
    <row r="23" spans="1:12" ht="18" customHeight="1" x14ac:dyDescent="0.2">
      <c r="A23" s="75"/>
      <c r="B23" s="78"/>
      <c r="C23" s="78"/>
      <c r="D23" s="78"/>
      <c r="E23" s="78"/>
      <c r="F23" s="87" t="s">
        <v>104</v>
      </c>
      <c r="G23" s="87" t="s">
        <v>104</v>
      </c>
      <c r="H23" s="87" t="s">
        <v>72</v>
      </c>
      <c r="I23" s="88"/>
      <c r="J23" s="78"/>
      <c r="K23" s="78"/>
      <c r="L23" s="78"/>
    </row>
    <row r="24" spans="1:12" ht="18" customHeight="1" x14ac:dyDescent="0.2">
      <c r="A24" s="75"/>
      <c r="B24" s="78"/>
      <c r="C24" s="78"/>
      <c r="D24" s="78"/>
      <c r="E24" s="78"/>
      <c r="F24" s="87" t="s">
        <v>105</v>
      </c>
      <c r="G24" s="87" t="s">
        <v>105</v>
      </c>
      <c r="H24" s="87" t="s">
        <v>72</v>
      </c>
      <c r="I24" s="88"/>
      <c r="J24" s="78"/>
      <c r="K24" s="78"/>
      <c r="L24" s="78"/>
    </row>
    <row r="25" spans="1:12" ht="18" customHeight="1" x14ac:dyDescent="0.2">
      <c r="A25" s="79"/>
      <c r="B25" s="80"/>
      <c r="C25" s="81">
        <v>6</v>
      </c>
      <c r="D25" s="82" t="s">
        <v>14</v>
      </c>
      <c r="E25" s="83" t="s">
        <v>192</v>
      </c>
      <c r="F25" s="80"/>
      <c r="G25" s="80"/>
      <c r="H25" s="80"/>
      <c r="I25" s="80"/>
      <c r="J25" s="80"/>
      <c r="K25" s="80"/>
      <c r="L25" s="80"/>
    </row>
    <row r="26" spans="1:12" ht="18" customHeight="1" x14ac:dyDescent="0.2">
      <c r="A26" s="75"/>
      <c r="B26" s="78"/>
      <c r="C26" s="28">
        <v>7</v>
      </c>
      <c r="D26" s="29" t="s">
        <v>15</v>
      </c>
      <c r="E26" s="77" t="s">
        <v>192</v>
      </c>
      <c r="F26" s="78"/>
      <c r="G26" s="78"/>
      <c r="H26" s="78"/>
      <c r="I26" s="78"/>
      <c r="J26" s="78"/>
      <c r="K26" s="78"/>
      <c r="L26" s="78"/>
    </row>
    <row r="27" spans="1:12" ht="18" customHeight="1" x14ac:dyDescent="0.2">
      <c r="A27" s="79"/>
      <c r="B27" s="80"/>
      <c r="C27" s="81">
        <v>8</v>
      </c>
      <c r="D27" s="82" t="s">
        <v>16</v>
      </c>
      <c r="E27" s="83" t="s">
        <v>192</v>
      </c>
      <c r="F27" s="80"/>
      <c r="G27" s="80"/>
      <c r="H27" s="80"/>
      <c r="I27" s="80"/>
      <c r="J27" s="80"/>
      <c r="K27" s="80"/>
      <c r="L27" s="80"/>
    </row>
    <row r="28" spans="1:12" ht="18" customHeight="1" x14ac:dyDescent="0.2">
      <c r="A28" s="75"/>
      <c r="B28" s="78"/>
      <c r="C28" s="28">
        <v>9</v>
      </c>
      <c r="D28" s="29" t="s">
        <v>17</v>
      </c>
      <c r="E28" s="57">
        <v>7</v>
      </c>
      <c r="F28" s="87" t="s">
        <v>192</v>
      </c>
      <c r="G28" s="87"/>
      <c r="H28" s="87" t="s">
        <v>72</v>
      </c>
      <c r="I28" s="88"/>
      <c r="J28" s="78"/>
      <c r="K28" s="78"/>
      <c r="L28" s="78"/>
    </row>
    <row r="29" spans="1:12" ht="18" customHeight="1" x14ac:dyDescent="0.2">
      <c r="A29" s="79"/>
      <c r="B29" s="80"/>
      <c r="C29" s="81">
        <v>10</v>
      </c>
      <c r="D29" s="82" t="s">
        <v>18</v>
      </c>
      <c r="E29" s="83" t="s">
        <v>192</v>
      </c>
      <c r="F29" s="80"/>
      <c r="G29" s="80"/>
      <c r="H29" s="80"/>
      <c r="I29" s="80"/>
      <c r="J29" s="80"/>
      <c r="K29" s="80"/>
      <c r="L29" s="80"/>
    </row>
    <row r="30" spans="1:12" ht="18" customHeight="1" x14ac:dyDescent="0.2">
      <c r="A30" s="75"/>
      <c r="B30" s="78"/>
      <c r="C30" s="28">
        <v>11</v>
      </c>
      <c r="D30" s="29" t="s">
        <v>19</v>
      </c>
      <c r="E30" s="77" t="s">
        <v>192</v>
      </c>
      <c r="F30" s="78"/>
      <c r="G30" s="78"/>
      <c r="H30" s="78"/>
      <c r="I30" s="78"/>
      <c r="J30" s="78"/>
      <c r="K30" s="78"/>
      <c r="L30" s="78"/>
    </row>
    <row r="31" spans="1:12" ht="18" customHeight="1" x14ac:dyDescent="0.2">
      <c r="A31" s="79"/>
      <c r="B31" s="80"/>
      <c r="C31" s="81">
        <v>12</v>
      </c>
      <c r="D31" s="82" t="s">
        <v>20</v>
      </c>
      <c r="E31" s="83" t="s">
        <v>192</v>
      </c>
      <c r="F31" s="80"/>
      <c r="G31" s="80"/>
      <c r="H31" s="80"/>
      <c r="I31" s="80"/>
      <c r="J31" s="80"/>
      <c r="K31" s="80"/>
      <c r="L31" s="80"/>
    </row>
    <row r="32" spans="1:12" ht="18" customHeight="1" x14ac:dyDescent="0.2">
      <c r="A32" s="75"/>
      <c r="B32" s="78"/>
      <c r="C32" s="28">
        <v>13</v>
      </c>
      <c r="D32" s="29" t="s">
        <v>21</v>
      </c>
      <c r="E32" s="57">
        <v>3</v>
      </c>
      <c r="F32" s="87" t="s">
        <v>192</v>
      </c>
      <c r="G32" s="87"/>
      <c r="H32" s="87" t="s">
        <v>72</v>
      </c>
      <c r="I32" s="88"/>
      <c r="J32" s="78"/>
      <c r="K32" s="78"/>
      <c r="L32" s="78"/>
    </row>
    <row r="33" spans="1:12" ht="18" customHeight="1" x14ac:dyDescent="0.2">
      <c r="A33" s="79"/>
      <c r="B33" s="89" t="s">
        <v>22</v>
      </c>
      <c r="C33" s="81">
        <v>14</v>
      </c>
      <c r="D33" s="82" t="s">
        <v>23</v>
      </c>
      <c r="E33" s="83" t="s">
        <v>192</v>
      </c>
      <c r="F33" s="80"/>
      <c r="G33" s="80"/>
      <c r="H33" s="80"/>
      <c r="I33" s="80"/>
      <c r="J33" s="80"/>
      <c r="K33" s="80"/>
      <c r="L33" s="80"/>
    </row>
    <row r="34" spans="1:12" ht="18" customHeight="1" x14ac:dyDescent="0.2">
      <c r="A34" s="75"/>
      <c r="B34" s="78"/>
      <c r="C34" s="28">
        <v>15</v>
      </c>
      <c r="D34" s="29" t="s">
        <v>24</v>
      </c>
      <c r="E34" s="77" t="s">
        <v>192</v>
      </c>
      <c r="F34" s="78"/>
      <c r="G34" s="78"/>
      <c r="H34" s="78"/>
      <c r="I34" s="78"/>
      <c r="J34" s="78"/>
      <c r="K34" s="78"/>
      <c r="L34" s="78"/>
    </row>
    <row r="35" spans="1:12" ht="18" customHeight="1" x14ac:dyDescent="0.2">
      <c r="A35" s="79"/>
      <c r="B35" s="80"/>
      <c r="C35" s="81">
        <v>16</v>
      </c>
      <c r="D35" s="82" t="s">
        <v>25</v>
      </c>
      <c r="E35" s="83" t="s">
        <v>192</v>
      </c>
      <c r="F35" s="80"/>
      <c r="G35" s="80"/>
      <c r="H35" s="80"/>
      <c r="I35" s="80"/>
      <c r="J35" s="80"/>
      <c r="K35" s="80"/>
      <c r="L35" s="80"/>
    </row>
    <row r="36" spans="1:12" ht="18" customHeight="1" x14ac:dyDescent="0.2">
      <c r="A36" s="75"/>
      <c r="B36" s="78"/>
      <c r="C36" s="28">
        <v>17</v>
      </c>
      <c r="D36" s="29" t="s">
        <v>26</v>
      </c>
      <c r="E36" s="57">
        <v>2</v>
      </c>
      <c r="F36" s="87" t="s">
        <v>143</v>
      </c>
      <c r="G36" s="87" t="s">
        <v>143</v>
      </c>
      <c r="H36" s="87" t="s">
        <v>72</v>
      </c>
      <c r="I36" s="88"/>
      <c r="J36" s="78"/>
      <c r="K36" s="78"/>
      <c r="L36" s="78"/>
    </row>
    <row r="37" spans="1:12" ht="18" customHeight="1" x14ac:dyDescent="0.2">
      <c r="A37" s="75"/>
      <c r="B37" s="78"/>
      <c r="C37" s="78"/>
      <c r="D37" s="78"/>
      <c r="E37" s="78"/>
      <c r="F37" s="87" t="s">
        <v>144</v>
      </c>
      <c r="G37" s="87" t="s">
        <v>144</v>
      </c>
      <c r="H37" s="87" t="s">
        <v>72</v>
      </c>
      <c r="I37" s="88"/>
      <c r="J37" s="78"/>
      <c r="K37" s="78"/>
      <c r="L37" s="78"/>
    </row>
    <row r="38" spans="1:12" ht="18" customHeight="1" x14ac:dyDescent="0.2">
      <c r="A38" s="79"/>
      <c r="B38" s="80"/>
      <c r="C38" s="81">
        <v>18</v>
      </c>
      <c r="D38" s="82" t="s">
        <v>27</v>
      </c>
      <c r="E38" s="83" t="s">
        <v>192</v>
      </c>
      <c r="F38" s="80"/>
      <c r="G38" s="80"/>
      <c r="H38" s="80"/>
      <c r="I38" s="80"/>
      <c r="J38" s="80"/>
      <c r="K38" s="80"/>
      <c r="L38" s="80"/>
    </row>
    <row r="39" spans="1:12" ht="18" customHeight="1" x14ac:dyDescent="0.2">
      <c r="A39" s="75"/>
      <c r="B39" s="78"/>
      <c r="C39" s="28">
        <v>19</v>
      </c>
      <c r="D39" s="29" t="s">
        <v>28</v>
      </c>
      <c r="E39" s="77" t="s">
        <v>192</v>
      </c>
      <c r="F39" s="78"/>
      <c r="G39" s="78"/>
      <c r="H39" s="78"/>
      <c r="I39" s="78"/>
      <c r="J39" s="78"/>
      <c r="K39" s="78"/>
      <c r="L39" s="78"/>
    </row>
    <row r="40" spans="1:12" ht="18" customHeight="1" x14ac:dyDescent="0.2">
      <c r="A40" s="79"/>
      <c r="B40" s="80"/>
      <c r="C40" s="81">
        <v>20</v>
      </c>
      <c r="D40" s="82" t="s">
        <v>29</v>
      </c>
      <c r="E40" s="83" t="s">
        <v>192</v>
      </c>
      <c r="F40" s="80"/>
      <c r="G40" s="80"/>
      <c r="H40" s="80"/>
      <c r="I40" s="80"/>
      <c r="J40" s="80"/>
      <c r="K40" s="80"/>
      <c r="L40" s="80"/>
    </row>
    <row r="41" spans="1:12" ht="18" customHeight="1" x14ac:dyDescent="0.2">
      <c r="A41" s="75"/>
      <c r="B41" s="78"/>
      <c r="C41" s="28">
        <v>21</v>
      </c>
      <c r="D41" s="29" t="s">
        <v>30</v>
      </c>
      <c r="E41" s="77" t="s">
        <v>192</v>
      </c>
      <c r="F41" s="78"/>
      <c r="G41" s="78"/>
      <c r="H41" s="78"/>
      <c r="I41" s="78"/>
      <c r="J41" s="78"/>
      <c r="K41" s="78"/>
      <c r="L41" s="78"/>
    </row>
    <row r="42" spans="1:12" ht="18" customHeight="1" x14ac:dyDescent="0.2">
      <c r="A42" s="79"/>
      <c r="B42" s="80"/>
      <c r="C42" s="81">
        <v>22</v>
      </c>
      <c r="D42" s="82" t="s">
        <v>31</v>
      </c>
      <c r="E42" s="57">
        <v>3</v>
      </c>
      <c r="F42" s="85" t="s">
        <v>192</v>
      </c>
      <c r="G42" s="85"/>
      <c r="H42" s="85" t="s">
        <v>72</v>
      </c>
      <c r="I42" s="86"/>
      <c r="J42" s="80"/>
      <c r="K42" s="80"/>
      <c r="L42" s="80"/>
    </row>
    <row r="43" spans="1:12" ht="18" customHeight="1" x14ac:dyDescent="0.2">
      <c r="A43" s="75"/>
      <c r="B43" s="78"/>
      <c r="C43" s="28">
        <v>23</v>
      </c>
      <c r="D43" s="29" t="s">
        <v>32</v>
      </c>
      <c r="E43" s="77" t="s">
        <v>192</v>
      </c>
      <c r="F43" s="78"/>
      <c r="G43" s="78"/>
      <c r="H43" s="78"/>
      <c r="I43" s="78"/>
      <c r="J43" s="78"/>
      <c r="K43" s="78"/>
      <c r="L43" s="78"/>
    </row>
    <row r="44" spans="1:12" ht="18" customHeight="1" x14ac:dyDescent="0.2">
      <c r="A44" s="79"/>
      <c r="B44" s="80"/>
      <c r="C44" s="81">
        <v>24</v>
      </c>
      <c r="D44" s="82" t="s">
        <v>33</v>
      </c>
      <c r="E44" s="83" t="s">
        <v>192</v>
      </c>
      <c r="F44" s="80"/>
      <c r="G44" s="80"/>
      <c r="H44" s="80"/>
      <c r="I44" s="80"/>
      <c r="J44" s="80"/>
      <c r="K44" s="80"/>
      <c r="L44" s="80"/>
    </row>
    <row r="45" spans="1:12" ht="18" customHeight="1" x14ac:dyDescent="0.2">
      <c r="A45" s="75"/>
      <c r="B45" s="78"/>
      <c r="C45" s="28">
        <v>25</v>
      </c>
      <c r="D45" s="29" t="s">
        <v>34</v>
      </c>
      <c r="E45" s="77" t="s">
        <v>192</v>
      </c>
      <c r="F45" s="78"/>
      <c r="G45" s="78"/>
      <c r="H45" s="78"/>
      <c r="I45" s="78"/>
      <c r="J45" s="78"/>
      <c r="K45" s="78"/>
      <c r="L45" s="78"/>
    </row>
    <row r="46" spans="1:12" ht="18" customHeight="1" x14ac:dyDescent="0.2">
      <c r="A46" s="79"/>
      <c r="B46" s="90" t="s">
        <v>35</v>
      </c>
      <c r="C46" s="81">
        <v>26</v>
      </c>
      <c r="D46" s="82" t="s">
        <v>36</v>
      </c>
      <c r="E46" s="83" t="s">
        <v>192</v>
      </c>
      <c r="F46" s="80"/>
      <c r="G46" s="80"/>
      <c r="H46" s="80"/>
      <c r="I46" s="80"/>
      <c r="J46" s="80"/>
      <c r="K46" s="80"/>
      <c r="L46" s="80"/>
    </row>
    <row r="47" spans="1:12" ht="18" customHeight="1" x14ac:dyDescent="0.2">
      <c r="A47" s="75"/>
      <c r="B47" s="78"/>
      <c r="C47" s="28">
        <v>27</v>
      </c>
      <c r="D47" s="29" t="s">
        <v>37</v>
      </c>
      <c r="E47" s="77" t="s">
        <v>192</v>
      </c>
      <c r="F47" s="78"/>
      <c r="G47" s="78"/>
      <c r="H47" s="78"/>
      <c r="I47" s="78"/>
      <c r="J47" s="78"/>
      <c r="K47" s="78"/>
      <c r="L47" s="78"/>
    </row>
    <row r="48" spans="1:12" ht="18" customHeight="1" x14ac:dyDescent="0.2">
      <c r="A48" s="79"/>
      <c r="B48" s="80"/>
      <c r="C48" s="81">
        <v>28</v>
      </c>
      <c r="D48" s="82" t="s">
        <v>38</v>
      </c>
      <c r="E48" s="83" t="s">
        <v>192</v>
      </c>
      <c r="F48" s="80"/>
      <c r="G48" s="80"/>
      <c r="H48" s="80"/>
      <c r="I48" s="80"/>
      <c r="J48" s="80"/>
      <c r="K48" s="80"/>
      <c r="L48" s="80"/>
    </row>
    <row r="49" spans="1:12" ht="18" customHeight="1" x14ac:dyDescent="0.2">
      <c r="A49" s="75"/>
      <c r="B49" s="78"/>
      <c r="C49" s="28">
        <v>29</v>
      </c>
      <c r="D49" s="29" t="s">
        <v>39</v>
      </c>
      <c r="E49" s="77" t="s">
        <v>192</v>
      </c>
      <c r="F49" s="78"/>
      <c r="G49" s="78"/>
      <c r="H49" s="78"/>
      <c r="I49" s="78"/>
      <c r="J49" s="78"/>
      <c r="K49" s="78"/>
      <c r="L49" s="78"/>
    </row>
    <row r="50" spans="1:12" ht="18" customHeight="1" x14ac:dyDescent="0.2">
      <c r="A50" s="79"/>
      <c r="B50" s="80"/>
      <c r="C50" s="81">
        <v>30</v>
      </c>
      <c r="D50" s="82" t="s">
        <v>40</v>
      </c>
      <c r="E50" s="83" t="s">
        <v>192</v>
      </c>
      <c r="F50" s="80"/>
      <c r="G50" s="80"/>
      <c r="H50" s="80"/>
      <c r="I50" s="80"/>
      <c r="J50" s="80"/>
      <c r="K50" s="80"/>
      <c r="L50" s="80"/>
    </row>
    <row r="51" spans="1:12" ht="18" customHeight="1" x14ac:dyDescent="0.2">
      <c r="A51" s="75"/>
      <c r="B51" s="78"/>
      <c r="C51" s="28">
        <v>31</v>
      </c>
      <c r="D51" s="29" t="s">
        <v>41</v>
      </c>
      <c r="E51" s="77" t="s">
        <v>192</v>
      </c>
      <c r="F51" s="78"/>
      <c r="G51" s="78"/>
      <c r="H51" s="78"/>
      <c r="I51" s="78"/>
      <c r="J51" s="78"/>
      <c r="K51" s="78"/>
      <c r="L51" s="78"/>
    </row>
    <row r="52" spans="1:12" ht="18" customHeight="1" x14ac:dyDescent="0.2">
      <c r="A52" s="79"/>
      <c r="B52" s="80"/>
      <c r="C52" s="81">
        <v>32</v>
      </c>
      <c r="D52" s="82" t="s">
        <v>42</v>
      </c>
      <c r="E52" s="83" t="s">
        <v>192</v>
      </c>
      <c r="F52" s="80"/>
      <c r="G52" s="80"/>
      <c r="H52" s="80"/>
      <c r="I52" s="80"/>
      <c r="J52" s="80"/>
      <c r="K52" s="80"/>
      <c r="L52" s="80"/>
    </row>
    <row r="53" spans="1:12" ht="18" customHeight="1" x14ac:dyDescent="0.2">
      <c r="A53" s="75"/>
      <c r="B53" s="91" t="s">
        <v>43</v>
      </c>
      <c r="C53" s="28">
        <v>33</v>
      </c>
      <c r="D53" s="29" t="s">
        <v>44</v>
      </c>
      <c r="E53" s="77" t="s">
        <v>192</v>
      </c>
      <c r="F53" s="78"/>
      <c r="G53" s="78"/>
      <c r="H53" s="78"/>
      <c r="I53" s="78"/>
      <c r="J53" s="78"/>
      <c r="K53" s="78"/>
      <c r="L53" s="78"/>
    </row>
    <row r="54" spans="1:12" ht="18" customHeight="1" x14ac:dyDescent="0.2">
      <c r="A54" s="79"/>
      <c r="B54" s="80"/>
      <c r="C54" s="81">
        <v>34</v>
      </c>
      <c r="D54" s="82" t="s">
        <v>45</v>
      </c>
      <c r="E54" s="83" t="s">
        <v>192</v>
      </c>
      <c r="F54" s="80"/>
      <c r="G54" s="80"/>
      <c r="H54" s="80"/>
      <c r="I54" s="80"/>
      <c r="J54" s="80"/>
      <c r="K54" s="80"/>
      <c r="L54" s="80"/>
    </row>
    <row r="55" spans="1:12" ht="18" customHeight="1" x14ac:dyDescent="0.2">
      <c r="A55" s="75"/>
      <c r="B55" s="78"/>
      <c r="C55" s="28">
        <v>35</v>
      </c>
      <c r="D55" s="29" t="s">
        <v>46</v>
      </c>
      <c r="E55" s="77" t="s">
        <v>192</v>
      </c>
      <c r="F55" s="78"/>
      <c r="G55" s="78"/>
      <c r="H55" s="78"/>
      <c r="I55" s="78"/>
      <c r="J55" s="78"/>
      <c r="K55" s="78"/>
      <c r="L55" s="78"/>
    </row>
  </sheetData>
  <mergeCells count="6">
    <mergeCell ref="I9:L9"/>
    <mergeCell ref="A2:L2"/>
    <mergeCell ref="D6:F6"/>
    <mergeCell ref="H6:J6"/>
    <mergeCell ref="D7:J7"/>
    <mergeCell ref="D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7B4D"/>
  </sheetPr>
  <dimension ref="A1:L65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8" customWidth="1"/>
    <col min="4" max="4" width="30" customWidth="1"/>
    <col min="5" max="5" width="8" customWidth="1"/>
    <col min="6" max="7" width="18" customWidth="1"/>
    <col min="8" max="8" width="14" customWidth="1"/>
    <col min="9" max="9" width="22" customWidth="1"/>
    <col min="10" max="10" width="20" customWidth="1"/>
    <col min="11" max="11" width="14" customWidth="1"/>
    <col min="12" max="12" width="20" customWidth="1"/>
  </cols>
  <sheetData>
    <row r="1" spans="1:12" ht="6" customHeight="1" x14ac:dyDescent="0.2"/>
    <row r="2" spans="1:12" ht="45" customHeight="1" x14ac:dyDescent="0.2">
      <c r="A2" s="141" t="s">
        <v>177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2" ht="7.5" customHeight="1" x14ac:dyDescent="0.2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ht="7.5" customHeight="1" x14ac:dyDescent="0.2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7.5" customHeight="1" x14ac:dyDescent="0.2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2" ht="24" customHeight="1" x14ac:dyDescent="0.2">
      <c r="A6" s="70"/>
      <c r="B6" s="71" t="s">
        <v>178</v>
      </c>
      <c r="C6" s="72"/>
      <c r="D6" s="3" t="s">
        <v>193</v>
      </c>
      <c r="E6" s="3"/>
      <c r="F6" s="3"/>
      <c r="G6" s="71" t="s">
        <v>180</v>
      </c>
      <c r="H6" s="3" t="s">
        <v>194</v>
      </c>
      <c r="I6" s="3"/>
      <c r="J6" s="3"/>
      <c r="K6" s="70"/>
      <c r="L6" s="70"/>
    </row>
    <row r="7" spans="1:12" ht="21.75" customHeight="1" x14ac:dyDescent="0.2">
      <c r="A7" s="70"/>
      <c r="B7" s="71" t="s">
        <v>182</v>
      </c>
      <c r="C7" s="72"/>
      <c r="D7" s="2" t="s">
        <v>195</v>
      </c>
      <c r="E7" s="2"/>
      <c r="F7" s="2"/>
      <c r="G7" s="2"/>
      <c r="H7" s="2"/>
      <c r="I7" s="2"/>
      <c r="J7" s="2"/>
      <c r="K7" s="70"/>
      <c r="L7" s="70"/>
    </row>
    <row r="8" spans="1:12" ht="21.75" customHeight="1" x14ac:dyDescent="0.2">
      <c r="A8" s="70"/>
      <c r="B8" s="71" t="s">
        <v>184</v>
      </c>
      <c r="C8" s="72"/>
      <c r="D8" s="2" t="s">
        <v>196</v>
      </c>
      <c r="E8" s="2"/>
      <c r="F8" s="2"/>
      <c r="G8" s="2"/>
      <c r="H8" s="2"/>
      <c r="I8" s="2"/>
      <c r="J8" s="2"/>
      <c r="K8" s="70"/>
      <c r="L8" s="70"/>
    </row>
    <row r="9" spans="1:12" ht="24" customHeight="1" x14ac:dyDescent="0.2">
      <c r="A9" s="73"/>
      <c r="B9" s="73"/>
      <c r="C9" s="73"/>
      <c r="D9" s="73"/>
      <c r="E9" s="73"/>
      <c r="F9" s="73"/>
      <c r="G9" s="73"/>
      <c r="H9" s="73"/>
      <c r="I9" s="1" t="str">
        <f>HYPERLINK("#'Main Inventory'!A1","&lt;&lt; Back to Main Inventory")</f>
        <v>&lt;&lt; Back to Main Inventory</v>
      </c>
      <c r="J9" s="1"/>
      <c r="K9" s="1"/>
      <c r="L9" s="1"/>
    </row>
    <row r="10" spans="1:12" ht="36" customHeight="1" x14ac:dyDescent="0.2">
      <c r="A10" s="93"/>
      <c r="B10" s="93" t="s">
        <v>3</v>
      </c>
      <c r="C10" s="93" t="s">
        <v>2</v>
      </c>
      <c r="D10" s="93" t="s">
        <v>4</v>
      </c>
      <c r="E10" s="93" t="s">
        <v>186</v>
      </c>
      <c r="F10" s="93" t="s">
        <v>187</v>
      </c>
      <c r="G10" s="93" t="s">
        <v>188</v>
      </c>
      <c r="H10" s="93" t="s">
        <v>189</v>
      </c>
      <c r="I10" s="93" t="s">
        <v>56</v>
      </c>
      <c r="J10" s="93" t="s">
        <v>190</v>
      </c>
      <c r="K10" s="93" t="s">
        <v>191</v>
      </c>
      <c r="L10" s="93" t="s">
        <v>56</v>
      </c>
    </row>
    <row r="11" spans="1:12" ht="18" customHeight="1" x14ac:dyDescent="0.2">
      <c r="A11" s="75"/>
      <c r="B11" s="76" t="s">
        <v>7</v>
      </c>
      <c r="C11" s="28">
        <v>1</v>
      </c>
      <c r="D11" s="29" t="s">
        <v>8</v>
      </c>
      <c r="E11" s="77" t="s">
        <v>192</v>
      </c>
      <c r="F11" s="78"/>
      <c r="G11" s="78"/>
      <c r="H11" s="78"/>
      <c r="I11" s="78"/>
      <c r="J11" s="78"/>
      <c r="K11" s="78"/>
      <c r="L11" s="78"/>
    </row>
    <row r="12" spans="1:12" ht="18" customHeight="1" x14ac:dyDescent="0.2">
      <c r="A12" s="79"/>
      <c r="B12" s="80"/>
      <c r="C12" s="81">
        <v>2</v>
      </c>
      <c r="D12" s="82" t="s">
        <v>9</v>
      </c>
      <c r="E12" s="83" t="s">
        <v>192</v>
      </c>
      <c r="F12" s="80"/>
      <c r="G12" s="80"/>
      <c r="H12" s="80"/>
      <c r="I12" s="80"/>
      <c r="J12" s="80"/>
      <c r="K12" s="80"/>
      <c r="L12" s="80"/>
    </row>
    <row r="13" spans="1:12" ht="18" customHeight="1" x14ac:dyDescent="0.2">
      <c r="A13" s="75"/>
      <c r="B13" s="78"/>
      <c r="C13" s="28">
        <v>3</v>
      </c>
      <c r="D13" s="29" t="s">
        <v>10</v>
      </c>
      <c r="E13" s="77" t="s">
        <v>192</v>
      </c>
      <c r="F13" s="78"/>
      <c r="G13" s="78"/>
      <c r="H13" s="78"/>
      <c r="I13" s="78"/>
      <c r="J13" s="78"/>
      <c r="K13" s="78"/>
      <c r="L13" s="78"/>
    </row>
    <row r="14" spans="1:12" ht="18" customHeight="1" x14ac:dyDescent="0.2">
      <c r="A14" s="79"/>
      <c r="B14" s="84" t="s">
        <v>11</v>
      </c>
      <c r="C14" s="81">
        <v>4</v>
      </c>
      <c r="D14" s="82" t="s">
        <v>12</v>
      </c>
      <c r="E14" s="57">
        <v>11</v>
      </c>
      <c r="F14" s="85" t="s">
        <v>197</v>
      </c>
      <c r="G14" s="85" t="s">
        <v>197</v>
      </c>
      <c r="H14" s="85"/>
      <c r="I14" s="86"/>
      <c r="J14" s="80"/>
      <c r="K14" s="80"/>
      <c r="L14" s="80"/>
    </row>
    <row r="15" spans="1:12" ht="18" customHeight="1" x14ac:dyDescent="0.2">
      <c r="A15" s="79"/>
      <c r="B15" s="80"/>
      <c r="C15" s="80"/>
      <c r="D15" s="80"/>
      <c r="E15" s="80"/>
      <c r="F15" s="85" t="s">
        <v>198</v>
      </c>
      <c r="G15" s="85" t="s">
        <v>198</v>
      </c>
      <c r="H15" s="85"/>
      <c r="I15" s="86"/>
      <c r="J15" s="80"/>
      <c r="K15" s="80"/>
      <c r="L15" s="80"/>
    </row>
    <row r="16" spans="1:12" ht="18" customHeight="1" x14ac:dyDescent="0.2">
      <c r="A16" s="79"/>
      <c r="B16" s="80"/>
      <c r="C16" s="80"/>
      <c r="D16" s="80"/>
      <c r="E16" s="80"/>
      <c r="F16" s="85" t="s">
        <v>199</v>
      </c>
      <c r="G16" s="85" t="s">
        <v>199</v>
      </c>
      <c r="H16" s="85"/>
      <c r="I16" s="86"/>
      <c r="J16" s="80"/>
      <c r="K16" s="80"/>
      <c r="L16" s="80"/>
    </row>
    <row r="17" spans="1:12" ht="18" customHeight="1" x14ac:dyDescent="0.2">
      <c r="A17" s="79"/>
      <c r="B17" s="80"/>
      <c r="C17" s="80"/>
      <c r="D17" s="80"/>
      <c r="E17" s="80"/>
      <c r="F17" s="85" t="s">
        <v>200</v>
      </c>
      <c r="G17" s="85" t="s">
        <v>200</v>
      </c>
      <c r="H17" s="85"/>
      <c r="I17" s="86"/>
      <c r="J17" s="80"/>
      <c r="K17" s="80"/>
      <c r="L17" s="80"/>
    </row>
    <row r="18" spans="1:12" ht="18" customHeight="1" x14ac:dyDescent="0.2">
      <c r="A18" s="79"/>
      <c r="B18" s="80"/>
      <c r="C18" s="80"/>
      <c r="D18" s="80"/>
      <c r="E18" s="80"/>
      <c r="F18" s="85" t="s">
        <v>201</v>
      </c>
      <c r="G18" s="85" t="s">
        <v>201</v>
      </c>
      <c r="H18" s="85"/>
      <c r="I18" s="86"/>
      <c r="J18" s="80"/>
      <c r="K18" s="80"/>
      <c r="L18" s="80"/>
    </row>
    <row r="19" spans="1:12" ht="18" customHeight="1" x14ac:dyDescent="0.2">
      <c r="A19" s="79"/>
      <c r="B19" s="80"/>
      <c r="C19" s="80"/>
      <c r="D19" s="80"/>
      <c r="E19" s="80"/>
      <c r="F19" s="85" t="s">
        <v>202</v>
      </c>
      <c r="G19" s="85" t="s">
        <v>202</v>
      </c>
      <c r="H19" s="85"/>
      <c r="I19" s="86" t="s">
        <v>86</v>
      </c>
      <c r="J19" s="80"/>
      <c r="K19" s="80"/>
      <c r="L19" s="80"/>
    </row>
    <row r="20" spans="1:12" ht="18" customHeight="1" x14ac:dyDescent="0.2">
      <c r="A20" s="79"/>
      <c r="B20" s="80"/>
      <c r="C20" s="80"/>
      <c r="D20" s="80"/>
      <c r="E20" s="80"/>
      <c r="F20" s="85" t="s">
        <v>87</v>
      </c>
      <c r="G20" s="85" t="s">
        <v>87</v>
      </c>
      <c r="H20" s="85"/>
      <c r="I20" s="86"/>
      <c r="J20" s="80"/>
      <c r="K20" s="80"/>
      <c r="L20" s="80"/>
    </row>
    <row r="21" spans="1:12" ht="18" customHeight="1" x14ac:dyDescent="0.2">
      <c r="A21" s="79"/>
      <c r="B21" s="80"/>
      <c r="C21" s="80"/>
      <c r="D21" s="80"/>
      <c r="E21" s="80"/>
      <c r="F21" s="85" t="s">
        <v>88</v>
      </c>
      <c r="G21" s="85" t="s">
        <v>88</v>
      </c>
      <c r="H21" s="85"/>
      <c r="I21" s="86"/>
      <c r="J21" s="80"/>
      <c r="K21" s="80"/>
      <c r="L21" s="80"/>
    </row>
    <row r="22" spans="1:12" ht="18" customHeight="1" x14ac:dyDescent="0.2">
      <c r="A22" s="79"/>
      <c r="B22" s="80"/>
      <c r="C22" s="80"/>
      <c r="D22" s="80"/>
      <c r="E22" s="80"/>
      <c r="F22" s="85" t="s">
        <v>203</v>
      </c>
      <c r="G22" s="85" t="s">
        <v>203</v>
      </c>
      <c r="H22" s="85"/>
      <c r="I22" s="86"/>
      <c r="J22" s="80"/>
      <c r="K22" s="80"/>
      <c r="L22" s="80"/>
    </row>
    <row r="23" spans="1:12" ht="18" customHeight="1" x14ac:dyDescent="0.2">
      <c r="A23" s="79"/>
      <c r="B23" s="80"/>
      <c r="C23" s="80"/>
      <c r="D23" s="80"/>
      <c r="E23" s="80"/>
      <c r="F23" s="85" t="s">
        <v>90</v>
      </c>
      <c r="G23" s="85" t="s">
        <v>90</v>
      </c>
      <c r="H23" s="85"/>
      <c r="I23" s="86"/>
      <c r="J23" s="80"/>
      <c r="K23" s="80"/>
      <c r="L23" s="80"/>
    </row>
    <row r="24" spans="1:12" ht="18" customHeight="1" x14ac:dyDescent="0.2">
      <c r="A24" s="79"/>
      <c r="B24" s="80"/>
      <c r="C24" s="80"/>
      <c r="D24" s="80"/>
      <c r="E24" s="80"/>
      <c r="F24" s="85" t="s">
        <v>91</v>
      </c>
      <c r="G24" s="85" t="s">
        <v>91</v>
      </c>
      <c r="H24" s="85"/>
      <c r="I24" s="86"/>
      <c r="J24" s="80"/>
      <c r="K24" s="80"/>
      <c r="L24" s="80"/>
    </row>
    <row r="25" spans="1:12" ht="18" customHeight="1" x14ac:dyDescent="0.2">
      <c r="A25" s="75"/>
      <c r="B25" s="78"/>
      <c r="C25" s="28">
        <v>5</v>
      </c>
      <c r="D25" s="29" t="s">
        <v>13</v>
      </c>
      <c r="E25" s="57">
        <v>11</v>
      </c>
      <c r="F25" s="87" t="s">
        <v>106</v>
      </c>
      <c r="G25" s="87" t="s">
        <v>106</v>
      </c>
      <c r="H25" s="87"/>
      <c r="I25" s="88"/>
      <c r="J25" s="78"/>
      <c r="K25" s="78"/>
      <c r="L25" s="78"/>
    </row>
    <row r="26" spans="1:12" ht="18" customHeight="1" x14ac:dyDescent="0.2">
      <c r="A26" s="75"/>
      <c r="B26" s="78"/>
      <c r="C26" s="78"/>
      <c r="D26" s="78"/>
      <c r="E26" s="78"/>
      <c r="F26" s="87" t="s">
        <v>107</v>
      </c>
      <c r="G26" s="87" t="s">
        <v>107</v>
      </c>
      <c r="H26" s="87"/>
      <c r="I26" s="88"/>
      <c r="J26" s="78"/>
      <c r="K26" s="78"/>
      <c r="L26" s="78"/>
    </row>
    <row r="27" spans="1:12" ht="18" customHeight="1" x14ac:dyDescent="0.2">
      <c r="A27" s="75"/>
      <c r="B27" s="78"/>
      <c r="C27" s="78"/>
      <c r="D27" s="78"/>
      <c r="E27" s="78"/>
      <c r="F27" s="87" t="s">
        <v>108</v>
      </c>
      <c r="G27" s="87" t="s">
        <v>108</v>
      </c>
      <c r="H27" s="87"/>
      <c r="I27" s="88"/>
      <c r="J27" s="78"/>
      <c r="K27" s="78"/>
      <c r="L27" s="78"/>
    </row>
    <row r="28" spans="1:12" ht="18" customHeight="1" x14ac:dyDescent="0.2">
      <c r="A28" s="75"/>
      <c r="B28" s="78"/>
      <c r="C28" s="78"/>
      <c r="D28" s="78"/>
      <c r="E28" s="78"/>
      <c r="F28" s="87" t="s">
        <v>109</v>
      </c>
      <c r="G28" s="87" t="s">
        <v>109</v>
      </c>
      <c r="H28" s="87"/>
      <c r="I28" s="88"/>
      <c r="J28" s="78"/>
      <c r="K28" s="78"/>
      <c r="L28" s="78"/>
    </row>
    <row r="29" spans="1:12" ht="18" customHeight="1" x14ac:dyDescent="0.2">
      <c r="A29" s="75"/>
      <c r="B29" s="78"/>
      <c r="C29" s="78"/>
      <c r="D29" s="78"/>
      <c r="E29" s="78"/>
      <c r="F29" s="87" t="s">
        <v>110</v>
      </c>
      <c r="G29" s="87" t="s">
        <v>110</v>
      </c>
      <c r="H29" s="87"/>
      <c r="I29" s="88"/>
      <c r="J29" s="78"/>
      <c r="K29" s="78"/>
      <c r="L29" s="78"/>
    </row>
    <row r="30" spans="1:12" ht="18" customHeight="1" x14ac:dyDescent="0.2">
      <c r="A30" s="75"/>
      <c r="B30" s="78"/>
      <c r="C30" s="78"/>
      <c r="D30" s="78"/>
      <c r="E30" s="78"/>
      <c r="F30" s="87" t="s">
        <v>87</v>
      </c>
      <c r="G30" s="87" t="s">
        <v>87</v>
      </c>
      <c r="H30" s="87"/>
      <c r="I30" s="88"/>
      <c r="J30" s="78"/>
      <c r="K30" s="78"/>
      <c r="L30" s="78"/>
    </row>
    <row r="31" spans="1:12" ht="18" customHeight="1" x14ac:dyDescent="0.2">
      <c r="A31" s="75"/>
      <c r="B31" s="78"/>
      <c r="C31" s="78"/>
      <c r="D31" s="78"/>
      <c r="E31" s="78"/>
      <c r="F31" s="87" t="s">
        <v>111</v>
      </c>
      <c r="G31" s="87" t="s">
        <v>111</v>
      </c>
      <c r="H31" s="87"/>
      <c r="I31" s="88"/>
      <c r="J31" s="78"/>
      <c r="K31" s="78"/>
      <c r="L31" s="78"/>
    </row>
    <row r="32" spans="1:12" ht="18" customHeight="1" x14ac:dyDescent="0.2">
      <c r="A32" s="75"/>
      <c r="B32" s="78"/>
      <c r="C32" s="78"/>
      <c r="D32" s="78"/>
      <c r="E32" s="78"/>
      <c r="F32" s="87" t="s">
        <v>112</v>
      </c>
      <c r="G32" s="87" t="s">
        <v>112</v>
      </c>
      <c r="H32" s="87"/>
      <c r="I32" s="88"/>
      <c r="J32" s="78"/>
      <c r="K32" s="78"/>
      <c r="L32" s="78"/>
    </row>
    <row r="33" spans="1:12" ht="18" customHeight="1" x14ac:dyDescent="0.2">
      <c r="A33" s="75"/>
      <c r="B33" s="78"/>
      <c r="C33" s="78"/>
      <c r="D33" s="78"/>
      <c r="E33" s="78"/>
      <c r="F33" s="87" t="s">
        <v>113</v>
      </c>
      <c r="G33" s="87" t="s">
        <v>113</v>
      </c>
      <c r="H33" s="87"/>
      <c r="I33" s="88"/>
      <c r="J33" s="78"/>
      <c r="K33" s="78"/>
      <c r="L33" s="78"/>
    </row>
    <row r="34" spans="1:12" ht="18" customHeight="1" x14ac:dyDescent="0.2">
      <c r="A34" s="75"/>
      <c r="B34" s="78"/>
      <c r="C34" s="78"/>
      <c r="D34" s="78"/>
      <c r="E34" s="78"/>
      <c r="F34" s="87" t="s">
        <v>114</v>
      </c>
      <c r="G34" s="87" t="s">
        <v>114</v>
      </c>
      <c r="H34" s="87"/>
      <c r="I34" s="88"/>
      <c r="J34" s="78"/>
      <c r="K34" s="78"/>
      <c r="L34" s="78"/>
    </row>
    <row r="35" spans="1:12" ht="18" customHeight="1" x14ac:dyDescent="0.2">
      <c r="A35" s="75"/>
      <c r="B35" s="78"/>
      <c r="C35" s="78"/>
      <c r="D35" s="78"/>
      <c r="E35" s="78"/>
      <c r="F35" s="87" t="s">
        <v>115</v>
      </c>
      <c r="G35" s="87" t="s">
        <v>115</v>
      </c>
      <c r="H35" s="87"/>
      <c r="I35" s="88"/>
      <c r="J35" s="78"/>
      <c r="K35" s="78"/>
      <c r="L35" s="78"/>
    </row>
    <row r="36" spans="1:12" ht="18" customHeight="1" x14ac:dyDescent="0.2">
      <c r="A36" s="79"/>
      <c r="B36" s="80"/>
      <c r="C36" s="81">
        <v>6</v>
      </c>
      <c r="D36" s="82" t="s">
        <v>14</v>
      </c>
      <c r="E36" s="83" t="s">
        <v>192</v>
      </c>
      <c r="F36" s="80"/>
      <c r="G36" s="80"/>
      <c r="H36" s="80"/>
      <c r="I36" s="80"/>
      <c r="J36" s="80"/>
      <c r="K36" s="80"/>
      <c r="L36" s="80"/>
    </row>
    <row r="37" spans="1:12" ht="18" customHeight="1" x14ac:dyDescent="0.2">
      <c r="A37" s="75"/>
      <c r="B37" s="78"/>
      <c r="C37" s="28">
        <v>7</v>
      </c>
      <c r="D37" s="29" t="s">
        <v>15</v>
      </c>
      <c r="E37" s="77" t="s">
        <v>192</v>
      </c>
      <c r="F37" s="78"/>
      <c r="G37" s="78"/>
      <c r="H37" s="78"/>
      <c r="I37" s="78"/>
      <c r="J37" s="78"/>
      <c r="K37" s="78"/>
      <c r="L37" s="78"/>
    </row>
    <row r="38" spans="1:12" ht="18" customHeight="1" x14ac:dyDescent="0.2">
      <c r="A38" s="79"/>
      <c r="B38" s="80"/>
      <c r="C38" s="81">
        <v>8</v>
      </c>
      <c r="D38" s="82" t="s">
        <v>16</v>
      </c>
      <c r="E38" s="83" t="s">
        <v>192</v>
      </c>
      <c r="F38" s="80"/>
      <c r="G38" s="80"/>
      <c r="H38" s="80"/>
      <c r="I38" s="80"/>
      <c r="J38" s="80"/>
      <c r="K38" s="80"/>
      <c r="L38" s="80"/>
    </row>
    <row r="39" spans="1:12" ht="18" customHeight="1" x14ac:dyDescent="0.2">
      <c r="A39" s="75"/>
      <c r="B39" s="78"/>
      <c r="C39" s="28">
        <v>9</v>
      </c>
      <c r="D39" s="29" t="s">
        <v>17</v>
      </c>
      <c r="E39" s="77" t="s">
        <v>192</v>
      </c>
      <c r="F39" s="78"/>
      <c r="G39" s="78"/>
      <c r="H39" s="78"/>
      <c r="I39" s="78"/>
      <c r="J39" s="78"/>
      <c r="K39" s="78"/>
      <c r="L39" s="78"/>
    </row>
    <row r="40" spans="1:12" ht="18" customHeight="1" x14ac:dyDescent="0.2">
      <c r="A40" s="79"/>
      <c r="B40" s="80"/>
      <c r="C40" s="81">
        <v>10</v>
      </c>
      <c r="D40" s="82" t="s">
        <v>18</v>
      </c>
      <c r="E40" s="57">
        <v>1</v>
      </c>
      <c r="F40" s="85" t="s">
        <v>192</v>
      </c>
      <c r="G40" s="85"/>
      <c r="H40" s="85"/>
      <c r="I40" s="86"/>
      <c r="J40" s="80"/>
      <c r="K40" s="80"/>
      <c r="L40" s="80"/>
    </row>
    <row r="41" spans="1:12" ht="18" customHeight="1" x14ac:dyDescent="0.2">
      <c r="A41" s="75"/>
      <c r="B41" s="78"/>
      <c r="C41" s="28">
        <v>11</v>
      </c>
      <c r="D41" s="29" t="s">
        <v>19</v>
      </c>
      <c r="E41" s="57">
        <v>1</v>
      </c>
      <c r="F41" s="87" t="s">
        <v>135</v>
      </c>
      <c r="G41" s="87" t="s">
        <v>135</v>
      </c>
      <c r="H41" s="87"/>
      <c r="I41" s="88"/>
      <c r="J41" s="78"/>
      <c r="K41" s="78"/>
      <c r="L41" s="78"/>
    </row>
    <row r="42" spans="1:12" ht="18" customHeight="1" x14ac:dyDescent="0.2">
      <c r="A42" s="79"/>
      <c r="B42" s="80"/>
      <c r="C42" s="81">
        <v>12</v>
      </c>
      <c r="D42" s="82" t="s">
        <v>20</v>
      </c>
      <c r="E42" s="83" t="s">
        <v>192</v>
      </c>
      <c r="F42" s="80"/>
      <c r="G42" s="80"/>
      <c r="H42" s="80"/>
      <c r="I42" s="80"/>
      <c r="J42" s="80"/>
      <c r="K42" s="80"/>
      <c r="L42" s="80"/>
    </row>
    <row r="43" spans="1:12" ht="18" customHeight="1" x14ac:dyDescent="0.2">
      <c r="A43" s="75"/>
      <c r="B43" s="78"/>
      <c r="C43" s="28">
        <v>13</v>
      </c>
      <c r="D43" s="29" t="s">
        <v>21</v>
      </c>
      <c r="E43" s="77" t="s">
        <v>192</v>
      </c>
      <c r="F43" s="78"/>
      <c r="G43" s="78"/>
      <c r="H43" s="78"/>
      <c r="I43" s="78"/>
      <c r="J43" s="78"/>
      <c r="K43" s="78"/>
      <c r="L43" s="78"/>
    </row>
    <row r="44" spans="1:12" ht="18" customHeight="1" x14ac:dyDescent="0.2">
      <c r="A44" s="79"/>
      <c r="B44" s="89" t="s">
        <v>22</v>
      </c>
      <c r="C44" s="81">
        <v>14</v>
      </c>
      <c r="D44" s="82" t="s">
        <v>23</v>
      </c>
      <c r="E44" s="83" t="s">
        <v>192</v>
      </c>
      <c r="F44" s="80"/>
      <c r="G44" s="80"/>
      <c r="H44" s="80"/>
      <c r="I44" s="80"/>
      <c r="J44" s="80"/>
      <c r="K44" s="80"/>
      <c r="L44" s="80"/>
    </row>
    <row r="45" spans="1:12" ht="18" customHeight="1" x14ac:dyDescent="0.2">
      <c r="A45" s="75"/>
      <c r="B45" s="78"/>
      <c r="C45" s="28">
        <v>15</v>
      </c>
      <c r="D45" s="29" t="s">
        <v>24</v>
      </c>
      <c r="E45" s="77" t="s">
        <v>192</v>
      </c>
      <c r="F45" s="78"/>
      <c r="G45" s="78"/>
      <c r="H45" s="78"/>
      <c r="I45" s="78"/>
      <c r="J45" s="78"/>
      <c r="K45" s="78"/>
      <c r="L45" s="78"/>
    </row>
    <row r="46" spans="1:12" ht="18" customHeight="1" x14ac:dyDescent="0.2">
      <c r="A46" s="79"/>
      <c r="B46" s="80"/>
      <c r="C46" s="81">
        <v>16</v>
      </c>
      <c r="D46" s="82" t="s">
        <v>25</v>
      </c>
      <c r="E46" s="83" t="s">
        <v>192</v>
      </c>
      <c r="F46" s="80"/>
      <c r="G46" s="80"/>
      <c r="H46" s="80"/>
      <c r="I46" s="80"/>
      <c r="J46" s="80"/>
      <c r="K46" s="80"/>
      <c r="L46" s="80"/>
    </row>
    <row r="47" spans="1:12" ht="18" customHeight="1" x14ac:dyDescent="0.2">
      <c r="A47" s="75"/>
      <c r="B47" s="78"/>
      <c r="C47" s="28">
        <v>17</v>
      </c>
      <c r="D47" s="29" t="s">
        <v>26</v>
      </c>
      <c r="E47" s="77" t="s">
        <v>192</v>
      </c>
      <c r="F47" s="78"/>
      <c r="G47" s="78"/>
      <c r="H47" s="78"/>
      <c r="I47" s="78"/>
      <c r="J47" s="78"/>
      <c r="K47" s="78"/>
      <c r="L47" s="78"/>
    </row>
    <row r="48" spans="1:12" ht="18" customHeight="1" x14ac:dyDescent="0.2">
      <c r="A48" s="79"/>
      <c r="B48" s="80"/>
      <c r="C48" s="81">
        <v>18</v>
      </c>
      <c r="D48" s="82" t="s">
        <v>27</v>
      </c>
      <c r="E48" s="83" t="s">
        <v>192</v>
      </c>
      <c r="F48" s="80"/>
      <c r="G48" s="80"/>
      <c r="H48" s="80"/>
      <c r="I48" s="80"/>
      <c r="J48" s="80"/>
      <c r="K48" s="80"/>
      <c r="L48" s="80"/>
    </row>
    <row r="49" spans="1:12" ht="18" customHeight="1" x14ac:dyDescent="0.2">
      <c r="A49" s="75"/>
      <c r="B49" s="78"/>
      <c r="C49" s="28">
        <v>19</v>
      </c>
      <c r="D49" s="29" t="s">
        <v>28</v>
      </c>
      <c r="E49" s="77" t="s">
        <v>192</v>
      </c>
      <c r="F49" s="78"/>
      <c r="G49" s="78"/>
      <c r="H49" s="78"/>
      <c r="I49" s="78"/>
      <c r="J49" s="78"/>
      <c r="K49" s="78"/>
      <c r="L49" s="78"/>
    </row>
    <row r="50" spans="1:12" ht="18" customHeight="1" x14ac:dyDescent="0.2">
      <c r="A50" s="79"/>
      <c r="B50" s="80"/>
      <c r="C50" s="81">
        <v>20</v>
      </c>
      <c r="D50" s="82" t="s">
        <v>29</v>
      </c>
      <c r="E50" s="57">
        <v>1</v>
      </c>
      <c r="F50" s="85" t="s">
        <v>150</v>
      </c>
      <c r="G50" s="85" t="s">
        <v>150</v>
      </c>
      <c r="H50" s="85"/>
      <c r="I50" s="86"/>
      <c r="J50" s="80"/>
      <c r="K50" s="80"/>
      <c r="L50" s="80"/>
    </row>
    <row r="51" spans="1:12" ht="18" customHeight="1" x14ac:dyDescent="0.2">
      <c r="A51" s="75"/>
      <c r="B51" s="78"/>
      <c r="C51" s="28">
        <v>21</v>
      </c>
      <c r="D51" s="29" t="s">
        <v>30</v>
      </c>
      <c r="E51" s="57">
        <v>1</v>
      </c>
      <c r="F51" s="87" t="s">
        <v>152</v>
      </c>
      <c r="G51" s="87" t="s">
        <v>152</v>
      </c>
      <c r="H51" s="87"/>
      <c r="I51" s="88"/>
      <c r="J51" s="78"/>
      <c r="K51" s="78"/>
      <c r="L51" s="78"/>
    </row>
    <row r="52" spans="1:12" ht="18" customHeight="1" x14ac:dyDescent="0.2">
      <c r="A52" s="79"/>
      <c r="B52" s="80"/>
      <c r="C52" s="81">
        <v>22</v>
      </c>
      <c r="D52" s="82" t="s">
        <v>31</v>
      </c>
      <c r="E52" s="57">
        <v>7</v>
      </c>
      <c r="F52" s="85" t="s">
        <v>192</v>
      </c>
      <c r="G52" s="85"/>
      <c r="H52" s="85"/>
      <c r="I52" s="86"/>
      <c r="J52" s="80"/>
      <c r="K52" s="80"/>
      <c r="L52" s="80"/>
    </row>
    <row r="53" spans="1:12" ht="18" customHeight="1" x14ac:dyDescent="0.2">
      <c r="A53" s="75"/>
      <c r="B53" s="78"/>
      <c r="C53" s="28">
        <v>23</v>
      </c>
      <c r="D53" s="29" t="s">
        <v>32</v>
      </c>
      <c r="E53" s="77" t="s">
        <v>192</v>
      </c>
      <c r="F53" s="78"/>
      <c r="G53" s="78"/>
      <c r="H53" s="78"/>
      <c r="I53" s="78"/>
      <c r="J53" s="78"/>
      <c r="K53" s="78"/>
      <c r="L53" s="78"/>
    </row>
    <row r="54" spans="1:12" ht="18" customHeight="1" x14ac:dyDescent="0.2">
      <c r="A54" s="79"/>
      <c r="B54" s="80"/>
      <c r="C54" s="81">
        <v>24</v>
      </c>
      <c r="D54" s="82" t="s">
        <v>33</v>
      </c>
      <c r="E54" s="83" t="s">
        <v>192</v>
      </c>
      <c r="F54" s="80"/>
      <c r="G54" s="80"/>
      <c r="H54" s="80"/>
      <c r="I54" s="80"/>
      <c r="J54" s="80"/>
      <c r="K54" s="80"/>
      <c r="L54" s="80"/>
    </row>
    <row r="55" spans="1:12" ht="18" customHeight="1" x14ac:dyDescent="0.2">
      <c r="A55" s="75"/>
      <c r="B55" s="78"/>
      <c r="C55" s="28">
        <v>25</v>
      </c>
      <c r="D55" s="29" t="s">
        <v>34</v>
      </c>
      <c r="E55" s="77" t="s">
        <v>192</v>
      </c>
      <c r="F55" s="78"/>
      <c r="G55" s="78"/>
      <c r="H55" s="78"/>
      <c r="I55" s="78"/>
      <c r="J55" s="78"/>
      <c r="K55" s="78"/>
      <c r="L55" s="78"/>
    </row>
    <row r="56" spans="1:12" ht="18" customHeight="1" x14ac:dyDescent="0.2">
      <c r="A56" s="79"/>
      <c r="B56" s="90" t="s">
        <v>35</v>
      </c>
      <c r="C56" s="81">
        <v>26</v>
      </c>
      <c r="D56" s="82" t="s">
        <v>36</v>
      </c>
      <c r="E56" s="83" t="s">
        <v>192</v>
      </c>
      <c r="F56" s="80"/>
      <c r="G56" s="80"/>
      <c r="H56" s="80"/>
      <c r="I56" s="80"/>
      <c r="J56" s="80"/>
      <c r="K56" s="80"/>
      <c r="L56" s="80"/>
    </row>
    <row r="57" spans="1:12" ht="18" customHeight="1" x14ac:dyDescent="0.2">
      <c r="A57" s="75"/>
      <c r="B57" s="78"/>
      <c r="C57" s="28">
        <v>27</v>
      </c>
      <c r="D57" s="29" t="s">
        <v>37</v>
      </c>
      <c r="E57" s="77" t="s">
        <v>192</v>
      </c>
      <c r="F57" s="78"/>
      <c r="G57" s="78"/>
      <c r="H57" s="78"/>
      <c r="I57" s="78"/>
      <c r="J57" s="78"/>
      <c r="K57" s="78"/>
      <c r="L57" s="78"/>
    </row>
    <row r="58" spans="1:12" ht="18" customHeight="1" x14ac:dyDescent="0.2">
      <c r="A58" s="79"/>
      <c r="B58" s="80"/>
      <c r="C58" s="81">
        <v>28</v>
      </c>
      <c r="D58" s="82" t="s">
        <v>38</v>
      </c>
      <c r="E58" s="83" t="s">
        <v>192</v>
      </c>
      <c r="F58" s="80"/>
      <c r="G58" s="80"/>
      <c r="H58" s="80"/>
      <c r="I58" s="80"/>
      <c r="J58" s="80"/>
      <c r="K58" s="80"/>
      <c r="L58" s="80"/>
    </row>
    <row r="59" spans="1:12" ht="18" customHeight="1" x14ac:dyDescent="0.2">
      <c r="A59" s="75"/>
      <c r="B59" s="78"/>
      <c r="C59" s="28">
        <v>29</v>
      </c>
      <c r="D59" s="29" t="s">
        <v>39</v>
      </c>
      <c r="E59" s="77" t="s">
        <v>192</v>
      </c>
      <c r="F59" s="78"/>
      <c r="G59" s="78"/>
      <c r="H59" s="78"/>
      <c r="I59" s="78"/>
      <c r="J59" s="78"/>
      <c r="K59" s="78"/>
      <c r="L59" s="78"/>
    </row>
    <row r="60" spans="1:12" ht="18" customHeight="1" x14ac:dyDescent="0.2">
      <c r="A60" s="79"/>
      <c r="B60" s="80"/>
      <c r="C60" s="81">
        <v>30</v>
      </c>
      <c r="D60" s="82" t="s">
        <v>40</v>
      </c>
      <c r="E60" s="83" t="s">
        <v>192</v>
      </c>
      <c r="F60" s="80"/>
      <c r="G60" s="80"/>
      <c r="H60" s="80"/>
      <c r="I60" s="80"/>
      <c r="J60" s="80"/>
      <c r="K60" s="80"/>
      <c r="L60" s="80"/>
    </row>
    <row r="61" spans="1:12" ht="18" customHeight="1" x14ac:dyDescent="0.2">
      <c r="A61" s="75"/>
      <c r="B61" s="78"/>
      <c r="C61" s="28">
        <v>31</v>
      </c>
      <c r="D61" s="29" t="s">
        <v>41</v>
      </c>
      <c r="E61" s="77" t="s">
        <v>192</v>
      </c>
      <c r="F61" s="78"/>
      <c r="G61" s="78"/>
      <c r="H61" s="78"/>
      <c r="I61" s="78"/>
      <c r="J61" s="78"/>
      <c r="K61" s="78"/>
      <c r="L61" s="78"/>
    </row>
    <row r="62" spans="1:12" ht="18" customHeight="1" x14ac:dyDescent="0.2">
      <c r="A62" s="79"/>
      <c r="B62" s="80"/>
      <c r="C62" s="81">
        <v>32</v>
      </c>
      <c r="D62" s="82" t="s">
        <v>42</v>
      </c>
      <c r="E62" s="83" t="s">
        <v>192</v>
      </c>
      <c r="F62" s="80"/>
      <c r="G62" s="80"/>
      <c r="H62" s="80"/>
      <c r="I62" s="80"/>
      <c r="J62" s="80"/>
      <c r="K62" s="80"/>
      <c r="L62" s="80"/>
    </row>
    <row r="63" spans="1:12" ht="18" customHeight="1" x14ac:dyDescent="0.2">
      <c r="A63" s="75"/>
      <c r="B63" s="91" t="s">
        <v>43</v>
      </c>
      <c r="C63" s="28">
        <v>33</v>
      </c>
      <c r="D63" s="29" t="s">
        <v>44</v>
      </c>
      <c r="E63" s="77" t="s">
        <v>192</v>
      </c>
      <c r="F63" s="78"/>
      <c r="G63" s="78"/>
      <c r="H63" s="78"/>
      <c r="I63" s="78"/>
      <c r="J63" s="78"/>
      <c r="K63" s="78"/>
      <c r="L63" s="78"/>
    </row>
    <row r="64" spans="1:12" ht="18" customHeight="1" x14ac:dyDescent="0.2">
      <c r="A64" s="79"/>
      <c r="B64" s="80"/>
      <c r="C64" s="81">
        <v>34</v>
      </c>
      <c r="D64" s="82" t="s">
        <v>45</v>
      </c>
      <c r="E64" s="83" t="s">
        <v>192</v>
      </c>
      <c r="F64" s="80"/>
      <c r="G64" s="80"/>
      <c r="H64" s="80"/>
      <c r="I64" s="80"/>
      <c r="J64" s="80"/>
      <c r="K64" s="80"/>
      <c r="L64" s="80"/>
    </row>
    <row r="65" spans="1:12" ht="18" customHeight="1" x14ac:dyDescent="0.2">
      <c r="A65" s="75"/>
      <c r="B65" s="78"/>
      <c r="C65" s="28">
        <v>35</v>
      </c>
      <c r="D65" s="29" t="s">
        <v>46</v>
      </c>
      <c r="E65" s="77" t="s">
        <v>192</v>
      </c>
      <c r="F65" s="78"/>
      <c r="G65" s="78"/>
      <c r="H65" s="78"/>
      <c r="I65" s="78"/>
      <c r="J65" s="78"/>
      <c r="K65" s="78"/>
      <c r="L65" s="78"/>
    </row>
  </sheetData>
  <mergeCells count="6">
    <mergeCell ref="I9:L9"/>
    <mergeCell ref="A2:L2"/>
    <mergeCell ref="D6:F6"/>
    <mergeCell ref="H6:J6"/>
    <mergeCell ref="D7:J7"/>
    <mergeCell ref="D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L64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8" customWidth="1"/>
    <col min="4" max="4" width="30" customWidth="1"/>
    <col min="5" max="5" width="8" customWidth="1"/>
    <col min="6" max="7" width="18" customWidth="1"/>
    <col min="8" max="8" width="14" customWidth="1"/>
    <col min="9" max="9" width="22" customWidth="1"/>
    <col min="10" max="10" width="20" customWidth="1"/>
    <col min="11" max="11" width="14" customWidth="1"/>
    <col min="12" max="12" width="20" customWidth="1"/>
  </cols>
  <sheetData>
    <row r="1" spans="1:12" ht="6" customHeight="1" x14ac:dyDescent="0.2"/>
    <row r="2" spans="1:12" ht="45" customHeight="1" x14ac:dyDescent="0.2">
      <c r="A2" s="142" t="s">
        <v>177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ht="7.5" customHeight="1" x14ac:dyDescent="0.2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ht="7.5" customHeight="1" x14ac:dyDescent="0.2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1:12" ht="7.5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24" customHeight="1" x14ac:dyDescent="0.2">
      <c r="A6" s="70"/>
      <c r="B6" s="71" t="s">
        <v>178</v>
      </c>
      <c r="C6" s="72"/>
      <c r="D6" s="3" t="s">
        <v>58</v>
      </c>
      <c r="E6" s="3"/>
      <c r="F6" s="3"/>
      <c r="G6" s="71" t="s">
        <v>180</v>
      </c>
      <c r="H6" s="3" t="s">
        <v>181</v>
      </c>
      <c r="I6" s="3"/>
      <c r="J6" s="3"/>
      <c r="K6" s="70"/>
      <c r="L6" s="70"/>
    </row>
    <row r="7" spans="1:12" ht="21.75" customHeight="1" x14ac:dyDescent="0.2">
      <c r="A7" s="70"/>
      <c r="B7" s="71" t="s">
        <v>182</v>
      </c>
      <c r="C7" s="72"/>
      <c r="D7" s="2" t="s">
        <v>204</v>
      </c>
      <c r="E7" s="2"/>
      <c r="F7" s="2"/>
      <c r="G7" s="2"/>
      <c r="H7" s="2"/>
      <c r="I7" s="2"/>
      <c r="J7" s="2"/>
      <c r="K7" s="70"/>
      <c r="L7" s="70"/>
    </row>
    <row r="8" spans="1:12" ht="21.75" customHeight="1" x14ac:dyDescent="0.2">
      <c r="A8" s="70"/>
      <c r="B8" s="71" t="s">
        <v>184</v>
      </c>
      <c r="C8" s="72"/>
      <c r="D8" s="2" t="s">
        <v>205</v>
      </c>
      <c r="E8" s="2"/>
      <c r="F8" s="2"/>
      <c r="G8" s="2"/>
      <c r="H8" s="2"/>
      <c r="I8" s="2"/>
      <c r="J8" s="2"/>
      <c r="K8" s="70"/>
      <c r="L8" s="70"/>
    </row>
    <row r="9" spans="1:12" ht="24" customHeight="1" x14ac:dyDescent="0.2">
      <c r="A9" s="73"/>
      <c r="B9" s="73"/>
      <c r="C9" s="73"/>
      <c r="D9" s="73"/>
      <c r="E9" s="73"/>
      <c r="F9" s="73"/>
      <c r="G9" s="73"/>
      <c r="H9" s="73"/>
      <c r="I9" s="1" t="str">
        <f>HYPERLINK("#'Main Inventory'!A1","&lt;&lt; Back to Main Inventory")</f>
        <v>&lt;&lt; Back to Main Inventory</v>
      </c>
      <c r="J9" s="1"/>
      <c r="K9" s="1"/>
      <c r="L9" s="1"/>
    </row>
    <row r="10" spans="1:12" ht="36" customHeight="1" x14ac:dyDescent="0.2">
      <c r="A10" s="95"/>
      <c r="B10" s="95" t="s">
        <v>3</v>
      </c>
      <c r="C10" s="95" t="s">
        <v>2</v>
      </c>
      <c r="D10" s="95" t="s">
        <v>4</v>
      </c>
      <c r="E10" s="95" t="s">
        <v>186</v>
      </c>
      <c r="F10" s="95" t="s">
        <v>187</v>
      </c>
      <c r="G10" s="95" t="s">
        <v>188</v>
      </c>
      <c r="H10" s="95" t="s">
        <v>189</v>
      </c>
      <c r="I10" s="95" t="s">
        <v>56</v>
      </c>
      <c r="J10" s="95" t="s">
        <v>190</v>
      </c>
      <c r="K10" s="95" t="s">
        <v>191</v>
      </c>
      <c r="L10" s="95" t="s">
        <v>56</v>
      </c>
    </row>
    <row r="11" spans="1:12" ht="18" customHeight="1" x14ac:dyDescent="0.2">
      <c r="A11" s="75"/>
      <c r="B11" s="76" t="s">
        <v>7</v>
      </c>
      <c r="C11" s="28">
        <v>1</v>
      </c>
      <c r="D11" s="29" t="s">
        <v>8</v>
      </c>
      <c r="E11" s="57">
        <v>1</v>
      </c>
      <c r="F11" s="87" t="s">
        <v>59</v>
      </c>
      <c r="G11" s="87" t="s">
        <v>59</v>
      </c>
      <c r="H11" s="87" t="s">
        <v>60</v>
      </c>
      <c r="I11" s="88" t="s">
        <v>61</v>
      </c>
      <c r="J11" s="78"/>
      <c r="K11" s="78"/>
      <c r="L11" s="78"/>
    </row>
    <row r="12" spans="1:12" ht="18" customHeight="1" x14ac:dyDescent="0.2">
      <c r="A12" s="79"/>
      <c r="B12" s="80"/>
      <c r="C12" s="81">
        <v>2</v>
      </c>
      <c r="D12" s="82" t="s">
        <v>9</v>
      </c>
      <c r="E12" s="57">
        <v>1</v>
      </c>
      <c r="F12" s="85" t="s">
        <v>192</v>
      </c>
      <c r="G12" s="85"/>
      <c r="H12" s="85" t="s">
        <v>60</v>
      </c>
      <c r="I12" s="86"/>
      <c r="J12" s="80"/>
      <c r="K12" s="80"/>
      <c r="L12" s="80"/>
    </row>
    <row r="13" spans="1:12" ht="18" customHeight="1" x14ac:dyDescent="0.2">
      <c r="A13" s="75"/>
      <c r="B13" s="78"/>
      <c r="C13" s="28">
        <v>3</v>
      </c>
      <c r="D13" s="29" t="s">
        <v>10</v>
      </c>
      <c r="E13" s="77" t="s">
        <v>192</v>
      </c>
      <c r="F13" s="78"/>
      <c r="G13" s="78"/>
      <c r="H13" s="78"/>
      <c r="I13" s="78"/>
      <c r="J13" s="78"/>
      <c r="K13" s="78"/>
      <c r="L13" s="78"/>
    </row>
    <row r="14" spans="1:12" ht="18" customHeight="1" x14ac:dyDescent="0.2">
      <c r="A14" s="79"/>
      <c r="B14" s="84" t="s">
        <v>11</v>
      </c>
      <c r="C14" s="81">
        <v>4</v>
      </c>
      <c r="D14" s="82" t="s">
        <v>12</v>
      </c>
      <c r="E14" s="57">
        <v>4</v>
      </c>
      <c r="F14" s="85" t="s">
        <v>92</v>
      </c>
      <c r="G14" s="85" t="s">
        <v>92</v>
      </c>
      <c r="H14" s="85" t="s">
        <v>60</v>
      </c>
      <c r="I14" s="86" t="s">
        <v>93</v>
      </c>
      <c r="J14" s="80"/>
      <c r="K14" s="80"/>
      <c r="L14" s="80"/>
    </row>
    <row r="15" spans="1:12" ht="18" customHeight="1" x14ac:dyDescent="0.2">
      <c r="A15" s="79"/>
      <c r="B15" s="80"/>
      <c r="C15" s="80"/>
      <c r="D15" s="80"/>
      <c r="E15" s="80"/>
      <c r="F15" s="85" t="s">
        <v>94</v>
      </c>
      <c r="G15" s="85" t="s">
        <v>94</v>
      </c>
      <c r="H15" s="85" t="s">
        <v>60</v>
      </c>
      <c r="I15" s="86" t="s">
        <v>77</v>
      </c>
      <c r="J15" s="80"/>
      <c r="K15" s="80"/>
      <c r="L15" s="80"/>
    </row>
    <row r="16" spans="1:12" ht="18" customHeight="1" x14ac:dyDescent="0.2">
      <c r="A16" s="79"/>
      <c r="B16" s="80"/>
      <c r="C16" s="80"/>
      <c r="D16" s="80"/>
      <c r="E16" s="80"/>
      <c r="F16" s="85" t="s">
        <v>95</v>
      </c>
      <c r="G16" s="85" t="s">
        <v>95</v>
      </c>
      <c r="H16" s="85" t="s">
        <v>60</v>
      </c>
      <c r="I16" s="86" t="s">
        <v>77</v>
      </c>
      <c r="J16" s="80"/>
      <c r="K16" s="80"/>
      <c r="L16" s="80"/>
    </row>
    <row r="17" spans="1:12" ht="18" customHeight="1" x14ac:dyDescent="0.2">
      <c r="A17" s="79"/>
      <c r="B17" s="80"/>
      <c r="C17" s="80"/>
      <c r="D17" s="80"/>
      <c r="E17" s="80"/>
      <c r="F17" s="85" t="s">
        <v>96</v>
      </c>
      <c r="G17" s="85" t="s">
        <v>96</v>
      </c>
      <c r="H17" s="85" t="s">
        <v>60</v>
      </c>
      <c r="I17" s="86" t="s">
        <v>97</v>
      </c>
      <c r="J17" s="80"/>
      <c r="K17" s="80"/>
      <c r="L17" s="80"/>
    </row>
    <row r="18" spans="1:12" ht="18" customHeight="1" x14ac:dyDescent="0.2">
      <c r="A18" s="75"/>
      <c r="B18" s="78"/>
      <c r="C18" s="28">
        <v>5</v>
      </c>
      <c r="D18" s="29" t="s">
        <v>13</v>
      </c>
      <c r="E18" s="57">
        <v>6</v>
      </c>
      <c r="F18" s="87" t="s">
        <v>116</v>
      </c>
      <c r="G18" s="87" t="s">
        <v>116</v>
      </c>
      <c r="H18" s="87" t="s">
        <v>60</v>
      </c>
      <c r="I18" s="88"/>
      <c r="J18" s="78"/>
      <c r="K18" s="78"/>
      <c r="L18" s="78"/>
    </row>
    <row r="19" spans="1:12" ht="18" customHeight="1" x14ac:dyDescent="0.2">
      <c r="A19" s="75"/>
      <c r="B19" s="78"/>
      <c r="C19" s="78"/>
      <c r="D19" s="78"/>
      <c r="E19" s="78"/>
      <c r="F19" s="87" t="s">
        <v>117</v>
      </c>
      <c r="G19" s="87" t="s">
        <v>117</v>
      </c>
      <c r="H19" s="87" t="s">
        <v>60</v>
      </c>
      <c r="I19" s="88"/>
      <c r="J19" s="78"/>
      <c r="K19" s="78"/>
      <c r="L19" s="78"/>
    </row>
    <row r="20" spans="1:12" ht="18" customHeight="1" x14ac:dyDescent="0.2">
      <c r="A20" s="75"/>
      <c r="B20" s="78"/>
      <c r="C20" s="78"/>
      <c r="D20" s="78"/>
      <c r="E20" s="78"/>
      <c r="F20" s="87" t="s">
        <v>118</v>
      </c>
      <c r="G20" s="87" t="s">
        <v>118</v>
      </c>
      <c r="H20" s="87" t="s">
        <v>60</v>
      </c>
      <c r="I20" s="88"/>
      <c r="J20" s="78"/>
      <c r="K20" s="78"/>
      <c r="L20" s="78"/>
    </row>
    <row r="21" spans="1:12" ht="18" customHeight="1" x14ac:dyDescent="0.2">
      <c r="A21" s="75"/>
      <c r="B21" s="78"/>
      <c r="C21" s="78"/>
      <c r="D21" s="78"/>
      <c r="E21" s="78"/>
      <c r="F21" s="87" t="s">
        <v>119</v>
      </c>
      <c r="G21" s="87" t="s">
        <v>119</v>
      </c>
      <c r="H21" s="87" t="s">
        <v>60</v>
      </c>
      <c r="I21" s="88"/>
      <c r="J21" s="78"/>
      <c r="K21" s="78"/>
      <c r="L21" s="78"/>
    </row>
    <row r="22" spans="1:12" ht="18" customHeight="1" x14ac:dyDescent="0.2">
      <c r="A22" s="75"/>
      <c r="B22" s="78"/>
      <c r="C22" s="78"/>
      <c r="D22" s="78"/>
      <c r="E22" s="78"/>
      <c r="F22" s="87" t="s">
        <v>120</v>
      </c>
      <c r="G22" s="87" t="s">
        <v>120</v>
      </c>
      <c r="H22" s="87" t="s">
        <v>60</v>
      </c>
      <c r="I22" s="88"/>
      <c r="J22" s="78"/>
      <c r="K22" s="78"/>
      <c r="L22" s="78"/>
    </row>
    <row r="23" spans="1:12" ht="18" customHeight="1" x14ac:dyDescent="0.2">
      <c r="A23" s="75"/>
      <c r="B23" s="78"/>
      <c r="C23" s="78"/>
      <c r="D23" s="78"/>
      <c r="E23" s="78"/>
      <c r="F23" s="87" t="s">
        <v>121</v>
      </c>
      <c r="G23" s="87" t="s">
        <v>121</v>
      </c>
      <c r="H23" s="87" t="s">
        <v>60</v>
      </c>
      <c r="I23" s="88"/>
      <c r="J23" s="78"/>
      <c r="K23" s="78"/>
      <c r="L23" s="78"/>
    </row>
    <row r="24" spans="1:12" ht="18" customHeight="1" x14ac:dyDescent="0.2">
      <c r="A24" s="79"/>
      <c r="B24" s="80"/>
      <c r="C24" s="81">
        <v>6</v>
      </c>
      <c r="D24" s="82" t="s">
        <v>14</v>
      </c>
      <c r="E24" s="57">
        <v>1</v>
      </c>
      <c r="F24" s="85" t="s">
        <v>123</v>
      </c>
      <c r="G24" s="85" t="s">
        <v>123</v>
      </c>
      <c r="H24" s="85" t="s">
        <v>60</v>
      </c>
      <c r="I24" s="86"/>
      <c r="J24" s="80"/>
      <c r="K24" s="80"/>
      <c r="L24" s="80"/>
    </row>
    <row r="25" spans="1:12" ht="18" customHeight="1" x14ac:dyDescent="0.2">
      <c r="A25" s="75"/>
      <c r="B25" s="78"/>
      <c r="C25" s="28">
        <v>7</v>
      </c>
      <c r="D25" s="29" t="s">
        <v>15</v>
      </c>
      <c r="E25" s="57">
        <v>2</v>
      </c>
      <c r="F25" s="87" t="s">
        <v>125</v>
      </c>
      <c r="G25" s="87" t="s">
        <v>125</v>
      </c>
      <c r="H25" s="87" t="s">
        <v>60</v>
      </c>
      <c r="I25" s="88"/>
      <c r="J25" s="78"/>
      <c r="K25" s="78"/>
      <c r="L25" s="78"/>
    </row>
    <row r="26" spans="1:12" ht="18" customHeight="1" x14ac:dyDescent="0.2">
      <c r="A26" s="75"/>
      <c r="B26" s="78"/>
      <c r="C26" s="78"/>
      <c r="D26" s="78"/>
      <c r="E26" s="78"/>
      <c r="F26" s="87" t="s">
        <v>126</v>
      </c>
      <c r="G26" s="87" t="s">
        <v>126</v>
      </c>
      <c r="H26" s="87" t="s">
        <v>60</v>
      </c>
      <c r="I26" s="88"/>
      <c r="J26" s="78"/>
      <c r="K26" s="78"/>
      <c r="L26" s="78"/>
    </row>
    <row r="27" spans="1:12" ht="18" customHeight="1" x14ac:dyDescent="0.2">
      <c r="A27" s="79"/>
      <c r="B27" s="80"/>
      <c r="C27" s="81">
        <v>8</v>
      </c>
      <c r="D27" s="82" t="s">
        <v>16</v>
      </c>
      <c r="E27" s="57">
        <v>4</v>
      </c>
      <c r="F27" s="85" t="s">
        <v>128</v>
      </c>
      <c r="G27" s="85" t="s">
        <v>128</v>
      </c>
      <c r="H27" s="85" t="s">
        <v>60</v>
      </c>
      <c r="I27" s="86"/>
      <c r="J27" s="80"/>
      <c r="K27" s="80"/>
      <c r="L27" s="80"/>
    </row>
    <row r="28" spans="1:12" ht="18" customHeight="1" x14ac:dyDescent="0.2">
      <c r="A28" s="79"/>
      <c r="B28" s="80"/>
      <c r="C28" s="80"/>
      <c r="D28" s="80"/>
      <c r="E28" s="80"/>
      <c r="F28" s="85" t="s">
        <v>129</v>
      </c>
      <c r="G28" s="85" t="s">
        <v>129</v>
      </c>
      <c r="H28" s="85" t="s">
        <v>60</v>
      </c>
      <c r="I28" s="86"/>
      <c r="J28" s="80"/>
      <c r="K28" s="80"/>
      <c r="L28" s="80"/>
    </row>
    <row r="29" spans="1:12" ht="18" customHeight="1" x14ac:dyDescent="0.2">
      <c r="A29" s="79"/>
      <c r="B29" s="80"/>
      <c r="C29" s="80"/>
      <c r="D29" s="80"/>
      <c r="E29" s="80"/>
      <c r="F29" s="85" t="s">
        <v>130</v>
      </c>
      <c r="G29" s="85" t="s">
        <v>130</v>
      </c>
      <c r="H29" s="85" t="s">
        <v>60</v>
      </c>
      <c r="I29" s="86"/>
      <c r="J29" s="80"/>
      <c r="K29" s="80"/>
      <c r="L29" s="80"/>
    </row>
    <row r="30" spans="1:12" ht="18" customHeight="1" x14ac:dyDescent="0.2">
      <c r="A30" s="79"/>
      <c r="B30" s="80"/>
      <c r="C30" s="80"/>
      <c r="D30" s="80"/>
      <c r="E30" s="80"/>
      <c r="F30" s="85" t="s">
        <v>131</v>
      </c>
      <c r="G30" s="85" t="s">
        <v>131</v>
      </c>
      <c r="H30" s="85" t="s">
        <v>60</v>
      </c>
      <c r="I30" s="86"/>
      <c r="J30" s="80"/>
      <c r="K30" s="80"/>
      <c r="L30" s="80"/>
    </row>
    <row r="31" spans="1:12" ht="18" customHeight="1" x14ac:dyDescent="0.2">
      <c r="A31" s="75"/>
      <c r="B31" s="78"/>
      <c r="C31" s="28">
        <v>9</v>
      </c>
      <c r="D31" s="29" t="s">
        <v>17</v>
      </c>
      <c r="E31" s="57">
        <v>1</v>
      </c>
      <c r="F31" s="87" t="s">
        <v>192</v>
      </c>
      <c r="G31" s="87"/>
      <c r="H31" s="87" t="s">
        <v>60</v>
      </c>
      <c r="I31" s="88"/>
      <c r="J31" s="78"/>
      <c r="K31" s="78"/>
      <c r="L31" s="78"/>
    </row>
    <row r="32" spans="1:12" ht="18" customHeight="1" x14ac:dyDescent="0.2">
      <c r="A32" s="79"/>
      <c r="B32" s="80"/>
      <c r="C32" s="81">
        <v>10</v>
      </c>
      <c r="D32" s="82" t="s">
        <v>18</v>
      </c>
      <c r="E32" s="57">
        <v>8</v>
      </c>
      <c r="F32" s="85" t="s">
        <v>192</v>
      </c>
      <c r="G32" s="85"/>
      <c r="H32" s="85" t="s">
        <v>60</v>
      </c>
      <c r="I32" s="86"/>
      <c r="J32" s="80"/>
      <c r="K32" s="80"/>
      <c r="L32" s="80"/>
    </row>
    <row r="33" spans="1:12" ht="18" customHeight="1" x14ac:dyDescent="0.2">
      <c r="A33" s="75"/>
      <c r="B33" s="78"/>
      <c r="C33" s="28">
        <v>11</v>
      </c>
      <c r="D33" s="29" t="s">
        <v>19</v>
      </c>
      <c r="E33" s="57">
        <v>1</v>
      </c>
      <c r="F33" s="87" t="s">
        <v>136</v>
      </c>
      <c r="G33" s="87" t="s">
        <v>136</v>
      </c>
      <c r="H33" s="87" t="s">
        <v>60</v>
      </c>
      <c r="I33" s="88"/>
      <c r="J33" s="78"/>
      <c r="K33" s="78"/>
      <c r="L33" s="78"/>
    </row>
    <row r="34" spans="1:12" ht="18" customHeight="1" x14ac:dyDescent="0.2">
      <c r="A34" s="79"/>
      <c r="B34" s="80"/>
      <c r="C34" s="81">
        <v>12</v>
      </c>
      <c r="D34" s="82" t="s">
        <v>20</v>
      </c>
      <c r="E34" s="57">
        <v>8</v>
      </c>
      <c r="F34" s="85" t="s">
        <v>192</v>
      </c>
      <c r="G34" s="85"/>
      <c r="H34" s="85" t="s">
        <v>60</v>
      </c>
      <c r="I34" s="86"/>
      <c r="J34" s="80"/>
      <c r="K34" s="80"/>
      <c r="L34" s="80"/>
    </row>
    <row r="35" spans="1:12" ht="18" customHeight="1" x14ac:dyDescent="0.2">
      <c r="A35" s="75"/>
      <c r="B35" s="78"/>
      <c r="C35" s="28">
        <v>13</v>
      </c>
      <c r="D35" s="29" t="s">
        <v>21</v>
      </c>
      <c r="E35" s="57">
        <v>3</v>
      </c>
      <c r="F35" s="87" t="s">
        <v>192</v>
      </c>
      <c r="G35" s="87"/>
      <c r="H35" s="87" t="s">
        <v>60</v>
      </c>
      <c r="I35" s="88"/>
      <c r="J35" s="78"/>
      <c r="K35" s="78"/>
      <c r="L35" s="78"/>
    </row>
    <row r="36" spans="1:12" ht="18" customHeight="1" x14ac:dyDescent="0.2">
      <c r="A36" s="79"/>
      <c r="B36" s="89" t="s">
        <v>22</v>
      </c>
      <c r="C36" s="81">
        <v>14</v>
      </c>
      <c r="D36" s="82" t="s">
        <v>23</v>
      </c>
      <c r="E36" s="83" t="s">
        <v>192</v>
      </c>
      <c r="F36" s="80"/>
      <c r="G36" s="80"/>
      <c r="H36" s="80"/>
      <c r="I36" s="80"/>
      <c r="J36" s="80"/>
      <c r="K36" s="80"/>
      <c r="L36" s="80"/>
    </row>
    <row r="37" spans="1:12" ht="18" customHeight="1" x14ac:dyDescent="0.2">
      <c r="A37" s="75"/>
      <c r="B37" s="78"/>
      <c r="C37" s="28">
        <v>15</v>
      </c>
      <c r="D37" s="29" t="s">
        <v>24</v>
      </c>
      <c r="E37" s="77" t="s">
        <v>192</v>
      </c>
      <c r="F37" s="78"/>
      <c r="G37" s="78"/>
      <c r="H37" s="78"/>
      <c r="I37" s="78"/>
      <c r="J37" s="78"/>
      <c r="K37" s="78"/>
      <c r="L37" s="78"/>
    </row>
    <row r="38" spans="1:12" ht="18" customHeight="1" x14ac:dyDescent="0.2">
      <c r="A38" s="79"/>
      <c r="B38" s="80"/>
      <c r="C38" s="81">
        <v>16</v>
      </c>
      <c r="D38" s="82" t="s">
        <v>25</v>
      </c>
      <c r="E38" s="83" t="s">
        <v>192</v>
      </c>
      <c r="F38" s="80"/>
      <c r="G38" s="80"/>
      <c r="H38" s="80"/>
      <c r="I38" s="80"/>
      <c r="J38" s="80"/>
      <c r="K38" s="80"/>
      <c r="L38" s="80"/>
    </row>
    <row r="39" spans="1:12" ht="18" customHeight="1" x14ac:dyDescent="0.2">
      <c r="A39" s="75"/>
      <c r="B39" s="78"/>
      <c r="C39" s="28">
        <v>17</v>
      </c>
      <c r="D39" s="29" t="s">
        <v>26</v>
      </c>
      <c r="E39" s="57">
        <v>2</v>
      </c>
      <c r="F39" s="87" t="s">
        <v>145</v>
      </c>
      <c r="G39" s="87" t="s">
        <v>145</v>
      </c>
      <c r="H39" s="87" t="s">
        <v>60</v>
      </c>
      <c r="I39" s="88"/>
      <c r="J39" s="78"/>
      <c r="K39" s="78"/>
      <c r="L39" s="78"/>
    </row>
    <row r="40" spans="1:12" ht="18" customHeight="1" x14ac:dyDescent="0.2">
      <c r="A40" s="75"/>
      <c r="B40" s="78"/>
      <c r="C40" s="78"/>
      <c r="D40" s="78"/>
      <c r="E40" s="78"/>
      <c r="F40" s="87" t="s">
        <v>146</v>
      </c>
      <c r="G40" s="87" t="s">
        <v>146</v>
      </c>
      <c r="H40" s="87" t="s">
        <v>60</v>
      </c>
      <c r="I40" s="88"/>
      <c r="J40" s="78"/>
      <c r="K40" s="78"/>
      <c r="L40" s="78"/>
    </row>
    <row r="41" spans="1:12" ht="18" customHeight="1" x14ac:dyDescent="0.2">
      <c r="A41" s="79"/>
      <c r="B41" s="80"/>
      <c r="C41" s="81">
        <v>18</v>
      </c>
      <c r="D41" s="82" t="s">
        <v>27</v>
      </c>
      <c r="E41" s="83" t="s">
        <v>192</v>
      </c>
      <c r="F41" s="80"/>
      <c r="G41" s="80"/>
      <c r="H41" s="80"/>
      <c r="I41" s="80"/>
      <c r="J41" s="80"/>
      <c r="K41" s="80"/>
      <c r="L41" s="80"/>
    </row>
    <row r="42" spans="1:12" ht="18" customHeight="1" x14ac:dyDescent="0.2">
      <c r="A42" s="75"/>
      <c r="B42" s="78"/>
      <c r="C42" s="28">
        <v>19</v>
      </c>
      <c r="D42" s="29" t="s">
        <v>28</v>
      </c>
      <c r="E42" s="77" t="s">
        <v>192</v>
      </c>
      <c r="F42" s="78"/>
      <c r="G42" s="78"/>
      <c r="H42" s="78"/>
      <c r="I42" s="78"/>
      <c r="J42" s="78"/>
      <c r="K42" s="78"/>
      <c r="L42" s="78"/>
    </row>
    <row r="43" spans="1:12" ht="18" customHeight="1" x14ac:dyDescent="0.2">
      <c r="A43" s="79"/>
      <c r="B43" s="80"/>
      <c r="C43" s="81">
        <v>20</v>
      </c>
      <c r="D43" s="82" t="s">
        <v>29</v>
      </c>
      <c r="E43" s="83" t="s">
        <v>192</v>
      </c>
      <c r="F43" s="80"/>
      <c r="G43" s="80"/>
      <c r="H43" s="80"/>
      <c r="I43" s="80"/>
      <c r="J43" s="80"/>
      <c r="K43" s="80"/>
      <c r="L43" s="80"/>
    </row>
    <row r="44" spans="1:12" ht="18" customHeight="1" x14ac:dyDescent="0.2">
      <c r="A44" s="75"/>
      <c r="B44" s="78"/>
      <c r="C44" s="28">
        <v>21</v>
      </c>
      <c r="D44" s="29" t="s">
        <v>30</v>
      </c>
      <c r="E44" s="77" t="s">
        <v>192</v>
      </c>
      <c r="F44" s="78"/>
      <c r="G44" s="78"/>
      <c r="H44" s="78"/>
      <c r="I44" s="78"/>
      <c r="J44" s="78"/>
      <c r="K44" s="78"/>
      <c r="L44" s="78"/>
    </row>
    <row r="45" spans="1:12" ht="18" customHeight="1" x14ac:dyDescent="0.2">
      <c r="A45" s="79"/>
      <c r="B45" s="80"/>
      <c r="C45" s="81">
        <v>22</v>
      </c>
      <c r="D45" s="82" t="s">
        <v>31</v>
      </c>
      <c r="E45" s="57">
        <v>7</v>
      </c>
      <c r="F45" s="85" t="s">
        <v>192</v>
      </c>
      <c r="G45" s="85"/>
      <c r="H45" s="85" t="s">
        <v>60</v>
      </c>
      <c r="I45" s="86"/>
      <c r="J45" s="80"/>
      <c r="K45" s="80"/>
      <c r="L45" s="80"/>
    </row>
    <row r="46" spans="1:12" ht="18" customHeight="1" x14ac:dyDescent="0.2">
      <c r="A46" s="75"/>
      <c r="B46" s="78"/>
      <c r="C46" s="28">
        <v>23</v>
      </c>
      <c r="D46" s="29" t="s">
        <v>32</v>
      </c>
      <c r="E46" s="77" t="s">
        <v>192</v>
      </c>
      <c r="F46" s="78"/>
      <c r="G46" s="78"/>
      <c r="H46" s="78"/>
      <c r="I46" s="78"/>
      <c r="J46" s="78"/>
      <c r="K46" s="78"/>
      <c r="L46" s="78"/>
    </row>
    <row r="47" spans="1:12" ht="18" customHeight="1" x14ac:dyDescent="0.2">
      <c r="A47" s="79"/>
      <c r="B47" s="80"/>
      <c r="C47" s="81">
        <v>24</v>
      </c>
      <c r="D47" s="82" t="s">
        <v>33</v>
      </c>
      <c r="E47" s="83" t="s">
        <v>192</v>
      </c>
      <c r="F47" s="80"/>
      <c r="G47" s="80"/>
      <c r="H47" s="80"/>
      <c r="I47" s="80"/>
      <c r="J47" s="80"/>
      <c r="K47" s="80"/>
      <c r="L47" s="80"/>
    </row>
    <row r="48" spans="1:12" ht="18" customHeight="1" x14ac:dyDescent="0.2">
      <c r="A48" s="75"/>
      <c r="B48" s="78"/>
      <c r="C48" s="28">
        <v>25</v>
      </c>
      <c r="D48" s="29" t="s">
        <v>34</v>
      </c>
      <c r="E48" s="77" t="s">
        <v>192</v>
      </c>
      <c r="F48" s="78"/>
      <c r="G48" s="78"/>
      <c r="H48" s="78"/>
      <c r="I48" s="78"/>
      <c r="J48" s="78"/>
      <c r="K48" s="78"/>
      <c r="L48" s="78"/>
    </row>
    <row r="49" spans="1:12" ht="18" customHeight="1" x14ac:dyDescent="0.2">
      <c r="A49" s="79"/>
      <c r="B49" s="90" t="s">
        <v>35</v>
      </c>
      <c r="C49" s="81">
        <v>26</v>
      </c>
      <c r="D49" s="82" t="s">
        <v>36</v>
      </c>
      <c r="E49" s="57">
        <v>1</v>
      </c>
      <c r="F49" s="85" t="s">
        <v>192</v>
      </c>
      <c r="G49" s="85"/>
      <c r="H49" s="85" t="s">
        <v>60</v>
      </c>
      <c r="I49" s="86"/>
      <c r="J49" s="80"/>
      <c r="K49" s="80"/>
      <c r="L49" s="80"/>
    </row>
    <row r="50" spans="1:12" ht="18" customHeight="1" x14ac:dyDescent="0.2">
      <c r="A50" s="75"/>
      <c r="B50" s="78"/>
      <c r="C50" s="28">
        <v>27</v>
      </c>
      <c r="D50" s="29" t="s">
        <v>37</v>
      </c>
      <c r="E50" s="77" t="s">
        <v>192</v>
      </c>
      <c r="F50" s="78"/>
      <c r="G50" s="78"/>
      <c r="H50" s="78"/>
      <c r="I50" s="78"/>
      <c r="J50" s="78"/>
      <c r="K50" s="78"/>
      <c r="L50" s="78"/>
    </row>
    <row r="51" spans="1:12" ht="18" customHeight="1" x14ac:dyDescent="0.2">
      <c r="A51" s="79"/>
      <c r="B51" s="80"/>
      <c r="C51" s="81">
        <v>28</v>
      </c>
      <c r="D51" s="82" t="s">
        <v>38</v>
      </c>
      <c r="E51" s="57">
        <v>1</v>
      </c>
      <c r="F51" s="85" t="s">
        <v>192</v>
      </c>
      <c r="G51" s="85"/>
      <c r="H51" s="85" t="s">
        <v>60</v>
      </c>
      <c r="I51" s="86"/>
      <c r="J51" s="80"/>
      <c r="K51" s="80"/>
      <c r="L51" s="80"/>
    </row>
    <row r="52" spans="1:12" ht="18" customHeight="1" x14ac:dyDescent="0.2">
      <c r="A52" s="75"/>
      <c r="B52" s="78"/>
      <c r="C52" s="28">
        <v>29</v>
      </c>
      <c r="D52" s="29" t="s">
        <v>39</v>
      </c>
      <c r="E52" s="57">
        <v>1</v>
      </c>
      <c r="F52" s="87" t="s">
        <v>192</v>
      </c>
      <c r="G52" s="87"/>
      <c r="H52" s="87" t="s">
        <v>60</v>
      </c>
      <c r="I52" s="88"/>
      <c r="J52" s="78"/>
      <c r="K52" s="78"/>
      <c r="L52" s="78"/>
    </row>
    <row r="53" spans="1:12" ht="18" customHeight="1" x14ac:dyDescent="0.2">
      <c r="A53" s="79"/>
      <c r="B53" s="80"/>
      <c r="C53" s="81">
        <v>30</v>
      </c>
      <c r="D53" s="82" t="s">
        <v>40</v>
      </c>
      <c r="E53" s="57">
        <v>4</v>
      </c>
      <c r="F53" s="85" t="s">
        <v>162</v>
      </c>
      <c r="G53" s="85" t="s">
        <v>162</v>
      </c>
      <c r="H53" s="85" t="s">
        <v>60</v>
      </c>
      <c r="I53" s="86"/>
      <c r="J53" s="80"/>
      <c r="K53" s="80"/>
      <c r="L53" s="80"/>
    </row>
    <row r="54" spans="1:12" ht="18" customHeight="1" x14ac:dyDescent="0.2">
      <c r="A54" s="79"/>
      <c r="B54" s="80"/>
      <c r="C54" s="80"/>
      <c r="D54" s="80"/>
      <c r="E54" s="80"/>
      <c r="F54" s="85" t="s">
        <v>163</v>
      </c>
      <c r="G54" s="85" t="s">
        <v>163</v>
      </c>
      <c r="H54" s="85" t="s">
        <v>60</v>
      </c>
      <c r="I54" s="86"/>
      <c r="J54" s="80"/>
      <c r="K54" s="80"/>
      <c r="L54" s="80"/>
    </row>
    <row r="55" spans="1:12" ht="18" customHeight="1" x14ac:dyDescent="0.2">
      <c r="A55" s="79"/>
      <c r="B55" s="80"/>
      <c r="C55" s="80"/>
      <c r="D55" s="80"/>
      <c r="E55" s="80"/>
      <c r="F55" s="85" t="s">
        <v>164</v>
      </c>
      <c r="G55" s="85" t="s">
        <v>164</v>
      </c>
      <c r="H55" s="85" t="s">
        <v>60</v>
      </c>
      <c r="I55" s="86"/>
      <c r="J55" s="80"/>
      <c r="K55" s="80"/>
      <c r="L55" s="80"/>
    </row>
    <row r="56" spans="1:12" ht="18" customHeight="1" x14ac:dyDescent="0.2">
      <c r="A56" s="79"/>
      <c r="B56" s="80"/>
      <c r="C56" s="80"/>
      <c r="D56" s="80"/>
      <c r="E56" s="80"/>
      <c r="F56" s="85" t="s">
        <v>165</v>
      </c>
      <c r="G56" s="85" t="s">
        <v>165</v>
      </c>
      <c r="H56" s="85" t="s">
        <v>60</v>
      </c>
      <c r="I56" s="86"/>
      <c r="J56" s="80"/>
      <c r="K56" s="80"/>
      <c r="L56" s="80"/>
    </row>
    <row r="57" spans="1:12" ht="18" customHeight="1" x14ac:dyDescent="0.2">
      <c r="A57" s="75"/>
      <c r="B57" s="78"/>
      <c r="C57" s="28">
        <v>31</v>
      </c>
      <c r="D57" s="29" t="s">
        <v>41</v>
      </c>
      <c r="E57" s="57">
        <v>2</v>
      </c>
      <c r="F57" s="87" t="s">
        <v>167</v>
      </c>
      <c r="G57" s="87" t="s">
        <v>167</v>
      </c>
      <c r="H57" s="87" t="s">
        <v>60</v>
      </c>
      <c r="I57" s="88"/>
      <c r="J57" s="78"/>
      <c r="K57" s="78"/>
      <c r="L57" s="78"/>
    </row>
    <row r="58" spans="1:12" ht="18" customHeight="1" x14ac:dyDescent="0.2">
      <c r="A58" s="75"/>
      <c r="B58" s="78"/>
      <c r="C58" s="78"/>
      <c r="D58" s="78"/>
      <c r="E58" s="78"/>
      <c r="F58" s="87" t="s">
        <v>168</v>
      </c>
      <c r="G58" s="87" t="s">
        <v>168</v>
      </c>
      <c r="H58" s="87" t="s">
        <v>60</v>
      </c>
      <c r="I58" s="88"/>
      <c r="J58" s="78"/>
      <c r="K58" s="78"/>
      <c r="L58" s="78"/>
    </row>
    <row r="59" spans="1:12" ht="18" customHeight="1" x14ac:dyDescent="0.2">
      <c r="A59" s="79"/>
      <c r="B59" s="80"/>
      <c r="C59" s="81">
        <v>32</v>
      </c>
      <c r="D59" s="82" t="s">
        <v>42</v>
      </c>
      <c r="E59" s="57">
        <v>3</v>
      </c>
      <c r="F59" s="85" t="s">
        <v>192</v>
      </c>
      <c r="G59" s="85"/>
      <c r="H59" s="85" t="s">
        <v>60</v>
      </c>
      <c r="I59" s="86"/>
      <c r="J59" s="80"/>
      <c r="K59" s="80"/>
      <c r="L59" s="80"/>
    </row>
    <row r="60" spans="1:12" ht="18" customHeight="1" x14ac:dyDescent="0.2">
      <c r="A60" s="75"/>
      <c r="B60" s="91" t="s">
        <v>43</v>
      </c>
      <c r="C60" s="28">
        <v>33</v>
      </c>
      <c r="D60" s="29" t="s">
        <v>44</v>
      </c>
      <c r="E60" s="57">
        <v>2</v>
      </c>
      <c r="F60" s="87" t="s">
        <v>171</v>
      </c>
      <c r="G60" s="87" t="s">
        <v>171</v>
      </c>
      <c r="H60" s="87" t="s">
        <v>60</v>
      </c>
      <c r="I60" s="88"/>
      <c r="J60" s="78"/>
      <c r="K60" s="78"/>
      <c r="L60" s="78"/>
    </row>
    <row r="61" spans="1:12" ht="18" customHeight="1" x14ac:dyDescent="0.2">
      <c r="A61" s="75"/>
      <c r="B61" s="78"/>
      <c r="C61" s="78"/>
      <c r="D61" s="78"/>
      <c r="E61" s="78"/>
      <c r="F61" s="87" t="s">
        <v>172</v>
      </c>
      <c r="G61" s="87" t="s">
        <v>172</v>
      </c>
      <c r="H61" s="87" t="s">
        <v>60</v>
      </c>
      <c r="I61" s="88"/>
      <c r="J61" s="78"/>
      <c r="K61" s="78"/>
      <c r="L61" s="78"/>
    </row>
    <row r="62" spans="1:12" ht="18" customHeight="1" x14ac:dyDescent="0.2">
      <c r="A62" s="79"/>
      <c r="B62" s="80"/>
      <c r="C62" s="81">
        <v>34</v>
      </c>
      <c r="D62" s="82" t="s">
        <v>45</v>
      </c>
      <c r="E62" s="57">
        <v>2</v>
      </c>
      <c r="F62" s="85" t="s">
        <v>174</v>
      </c>
      <c r="G62" s="85" t="s">
        <v>174</v>
      </c>
      <c r="H62" s="85" t="s">
        <v>60</v>
      </c>
      <c r="I62" s="86"/>
      <c r="J62" s="80"/>
      <c r="K62" s="80"/>
      <c r="L62" s="80"/>
    </row>
    <row r="63" spans="1:12" ht="18" customHeight="1" x14ac:dyDescent="0.2">
      <c r="A63" s="79"/>
      <c r="B63" s="80"/>
      <c r="C63" s="80"/>
      <c r="D63" s="80"/>
      <c r="E63" s="80"/>
      <c r="F63" s="85" t="s">
        <v>175</v>
      </c>
      <c r="G63" s="85" t="s">
        <v>175</v>
      </c>
      <c r="H63" s="85" t="s">
        <v>60</v>
      </c>
      <c r="I63" s="86"/>
      <c r="J63" s="80"/>
      <c r="K63" s="80"/>
      <c r="L63" s="80"/>
    </row>
    <row r="64" spans="1:12" ht="18" customHeight="1" x14ac:dyDescent="0.2">
      <c r="A64" s="75"/>
      <c r="B64" s="78"/>
      <c r="C64" s="28">
        <v>35</v>
      </c>
      <c r="D64" s="29" t="s">
        <v>46</v>
      </c>
      <c r="E64" s="77" t="s">
        <v>192</v>
      </c>
      <c r="F64" s="87" t="s">
        <v>192</v>
      </c>
      <c r="G64" s="87"/>
      <c r="H64" s="87" t="s">
        <v>60</v>
      </c>
      <c r="I64" s="88"/>
      <c r="J64" s="78"/>
      <c r="K64" s="78"/>
      <c r="L64" s="78"/>
    </row>
  </sheetData>
  <mergeCells count="6">
    <mergeCell ref="I9:L9"/>
    <mergeCell ref="A2:L2"/>
    <mergeCell ref="D6:F6"/>
    <mergeCell ref="H6:J6"/>
    <mergeCell ref="D7:J7"/>
    <mergeCell ref="D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L40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8" customWidth="1"/>
    <col min="4" max="4" width="30" customWidth="1"/>
    <col min="5" max="5" width="8" customWidth="1"/>
    <col min="6" max="7" width="18" customWidth="1"/>
    <col min="8" max="8" width="14" customWidth="1"/>
    <col min="9" max="9" width="22" customWidth="1"/>
    <col min="10" max="10" width="20" customWidth="1"/>
    <col min="11" max="11" width="14" customWidth="1"/>
    <col min="12" max="12" width="20" customWidth="1"/>
  </cols>
  <sheetData>
    <row r="1" spans="1:12" ht="6" customHeight="1" x14ac:dyDescent="0.2"/>
    <row r="2" spans="1:12" ht="45" customHeight="1" x14ac:dyDescent="0.2">
      <c r="A2" s="143" t="s">
        <v>206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ht="7.5" customHeight="1" x14ac:dyDescent="0.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ht="7.5" customHeight="1" x14ac:dyDescent="0.2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7.5" customHeight="1" x14ac:dyDescent="0.2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24" customHeight="1" x14ac:dyDescent="0.2">
      <c r="A6" s="70"/>
      <c r="B6" s="71" t="s">
        <v>178</v>
      </c>
      <c r="C6" s="72"/>
      <c r="D6" s="144"/>
      <c r="E6" s="144"/>
      <c r="F6" s="144"/>
      <c r="G6" s="71" t="s">
        <v>180</v>
      </c>
      <c r="H6" s="144"/>
      <c r="I6" s="144"/>
      <c r="J6" s="144"/>
      <c r="K6" s="70"/>
      <c r="L6" s="70"/>
    </row>
    <row r="7" spans="1:12" ht="24" customHeight="1" x14ac:dyDescent="0.2">
      <c r="A7" s="70"/>
      <c r="B7" s="71" t="s">
        <v>182</v>
      </c>
      <c r="C7" s="72"/>
      <c r="D7" s="144"/>
      <c r="E7" s="144"/>
      <c r="F7" s="144"/>
      <c r="G7" s="144"/>
      <c r="H7" s="144"/>
      <c r="I7" s="144"/>
      <c r="J7" s="144"/>
      <c r="K7" s="70"/>
      <c r="L7" s="70"/>
    </row>
    <row r="8" spans="1:12" ht="24" customHeight="1" x14ac:dyDescent="0.2">
      <c r="A8" s="70"/>
      <c r="B8" s="71" t="s">
        <v>184</v>
      </c>
      <c r="C8" s="72"/>
      <c r="D8" s="144"/>
      <c r="E8" s="144"/>
      <c r="F8" s="144"/>
      <c r="G8" s="144"/>
      <c r="H8" s="144"/>
      <c r="I8" s="144"/>
      <c r="J8" s="144"/>
      <c r="K8" s="70"/>
      <c r="L8" s="70"/>
    </row>
    <row r="9" spans="1:12" ht="24" customHeight="1" x14ac:dyDescent="0.2">
      <c r="A9" s="73"/>
      <c r="B9" s="73"/>
      <c r="C9" s="73"/>
      <c r="D9" s="73"/>
      <c r="E9" s="73"/>
      <c r="F9" s="73"/>
      <c r="G9" s="73"/>
      <c r="H9" s="73"/>
      <c r="I9" s="1" t="str">
        <f>HYPERLINK("#'Main Inventory'!A1","&lt;&lt; Back to Main Inventory")</f>
        <v>&lt;&lt; Back to Main Inventory</v>
      </c>
      <c r="J9" s="1"/>
      <c r="K9" s="1"/>
      <c r="L9" s="1"/>
    </row>
    <row r="10" spans="1:12" ht="36" customHeight="1" x14ac:dyDescent="0.2">
      <c r="A10" s="97"/>
      <c r="B10" s="97" t="s">
        <v>3</v>
      </c>
      <c r="C10" s="97" t="s">
        <v>2</v>
      </c>
      <c r="D10" s="97" t="s">
        <v>4</v>
      </c>
      <c r="E10" s="97" t="s">
        <v>186</v>
      </c>
      <c r="F10" s="97" t="s">
        <v>187</v>
      </c>
      <c r="G10" s="97" t="s">
        <v>188</v>
      </c>
      <c r="H10" s="97" t="s">
        <v>189</v>
      </c>
      <c r="I10" s="97" t="s">
        <v>56</v>
      </c>
      <c r="J10" s="97" t="s">
        <v>190</v>
      </c>
      <c r="K10" s="97" t="s">
        <v>191</v>
      </c>
      <c r="L10" s="97" t="s">
        <v>56</v>
      </c>
    </row>
    <row r="11" spans="1:12" ht="19.5" customHeight="1" x14ac:dyDescent="0.2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ht="19.5" customHeight="1" x14ac:dyDescent="0.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ht="19.5" customHeight="1" x14ac:dyDescent="0.2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</row>
    <row r="14" spans="1:12" ht="19.5" customHeight="1" x14ac:dyDescent="0.2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ht="19.5" customHeight="1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</row>
    <row r="16" spans="1:12" ht="19.5" customHeight="1" x14ac:dyDescent="0.2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ht="19.5" customHeight="1" x14ac:dyDescent="0.2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</row>
    <row r="18" spans="1:12" ht="19.5" customHeight="1" x14ac:dyDescent="0.2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ht="19.5" customHeight="1" x14ac:dyDescent="0.2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ht="19.5" customHeight="1" x14ac:dyDescent="0.2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ht="19.5" customHeight="1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</row>
    <row r="22" spans="1:12" ht="19.5" customHeight="1" x14ac:dyDescent="0.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ht="19.5" customHeight="1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</row>
    <row r="24" spans="1:12" ht="19.5" customHeight="1" x14ac:dyDescent="0.2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ht="19.5" customHeight="1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</row>
    <row r="26" spans="1:12" ht="19.5" customHeight="1" x14ac:dyDescent="0.2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ht="19.5" customHeight="1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</row>
    <row r="28" spans="1:12" ht="19.5" customHeight="1" x14ac:dyDescent="0.2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ht="19.5" customHeight="1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2" ht="19.5" customHeight="1" x14ac:dyDescent="0.2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ht="19.5" customHeight="1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</row>
    <row r="32" spans="1:12" ht="19.5" customHeight="1" x14ac:dyDescent="0.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ht="19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</row>
    <row r="34" spans="1:12" ht="19.5" customHeight="1" x14ac:dyDescent="0.2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ht="19.5" customHeight="1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</row>
    <row r="36" spans="1:12" ht="19.5" customHeight="1" x14ac:dyDescent="0.2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ht="19.5" customHeight="1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</row>
    <row r="38" spans="1:12" ht="19.5" customHeight="1" x14ac:dyDescent="0.2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ht="19.5" customHeight="1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</row>
    <row r="40" spans="1:12" ht="19.5" customHeight="1" x14ac:dyDescent="0.2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</sheetData>
  <mergeCells count="6">
    <mergeCell ref="I9:L9"/>
    <mergeCell ref="A2:L2"/>
    <mergeCell ref="D6:F6"/>
    <mergeCell ref="H6:J6"/>
    <mergeCell ref="D7:J7"/>
    <mergeCell ref="D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082"/>
  </sheetPr>
  <dimension ref="A1:L54"/>
  <sheetViews>
    <sheetView zoomScaleNormal="100" workbookViewId="0">
      <pane ySplit="4" topLeftCell="A5" activePane="bottomLeft" state="frozen"/>
      <selection pane="bottomLeft" sqref="A1:L1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8" customWidth="1"/>
    <col min="4" max="4" width="28" customWidth="1"/>
    <col min="5" max="5" width="20" customWidth="1"/>
    <col min="6" max="6" width="8" customWidth="1"/>
    <col min="7" max="8" width="22" customWidth="1"/>
    <col min="9" max="10" width="18" customWidth="1"/>
    <col min="11" max="11" width="28" customWidth="1"/>
    <col min="12" max="12" width="18" customWidth="1"/>
  </cols>
  <sheetData>
    <row r="1" spans="1:12" ht="45" customHeight="1" x14ac:dyDescent="0.2">
      <c r="A1" s="145" t="s">
        <v>207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2" ht="24" customHeight="1" x14ac:dyDescent="0.2">
      <c r="A2" s="43" t="str">
        <f>HYPERLINK("#'Main Inventory'!A1","&lt;&lt; Main Inventory")</f>
        <v>&lt;&lt; Main Inventory</v>
      </c>
      <c r="B2" s="44" t="s">
        <v>208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7.5" customHeight="1" x14ac:dyDescent="0.2"/>
    <row r="4" spans="1:12" ht="37.5" customHeight="1" x14ac:dyDescent="0.2">
      <c r="A4" s="98" t="s">
        <v>209</v>
      </c>
      <c r="B4" s="98" t="s">
        <v>210</v>
      </c>
      <c r="C4" s="98" t="s">
        <v>52</v>
      </c>
      <c r="D4" s="98" t="s">
        <v>4</v>
      </c>
      <c r="E4" s="98" t="s">
        <v>211</v>
      </c>
      <c r="F4" s="98" t="s">
        <v>186</v>
      </c>
      <c r="G4" s="98" t="s">
        <v>212</v>
      </c>
      <c r="H4" s="98" t="s">
        <v>213</v>
      </c>
      <c r="I4" s="98" t="s">
        <v>214</v>
      </c>
      <c r="J4" s="98" t="s">
        <v>215</v>
      </c>
      <c r="K4" s="98" t="s">
        <v>216</v>
      </c>
      <c r="L4" s="98" t="s">
        <v>6</v>
      </c>
    </row>
    <row r="5" spans="1:12" ht="19.5" customHeight="1" x14ac:dyDescent="0.2">
      <c r="A5" s="99" t="s">
        <v>217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100"/>
    </row>
    <row r="6" spans="1:12" ht="19.5" customHeight="1" x14ac:dyDescent="0.2">
      <c r="A6" s="101" t="s">
        <v>218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3"/>
    </row>
    <row r="7" spans="1:12" ht="19.5" customHeight="1" x14ac:dyDescent="0.2">
      <c r="A7" s="99" t="s">
        <v>219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100"/>
    </row>
    <row r="8" spans="1:12" ht="19.5" customHeight="1" x14ac:dyDescent="0.2">
      <c r="A8" s="101" t="s">
        <v>220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3"/>
    </row>
    <row r="9" spans="1:12" ht="19.5" customHeight="1" x14ac:dyDescent="0.2">
      <c r="A9" s="99" t="s">
        <v>221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100"/>
    </row>
    <row r="10" spans="1:12" ht="19.5" customHeight="1" x14ac:dyDescent="0.2">
      <c r="A10" s="101" t="s">
        <v>222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3"/>
    </row>
    <row r="11" spans="1:12" ht="19.5" customHeight="1" x14ac:dyDescent="0.2">
      <c r="A11" s="99" t="s">
        <v>223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100"/>
    </row>
    <row r="12" spans="1:12" ht="19.5" customHeight="1" x14ac:dyDescent="0.2">
      <c r="A12" s="101" t="s">
        <v>224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3"/>
    </row>
    <row r="13" spans="1:12" ht="19.5" customHeight="1" x14ac:dyDescent="0.2">
      <c r="A13" s="99" t="s">
        <v>225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100"/>
    </row>
    <row r="14" spans="1:12" ht="19.5" customHeight="1" x14ac:dyDescent="0.2">
      <c r="A14" s="101" t="s">
        <v>226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2" ht="19.5" customHeight="1" x14ac:dyDescent="0.2">
      <c r="A15" s="99" t="s">
        <v>227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100"/>
    </row>
    <row r="16" spans="1:12" ht="19.5" customHeight="1" x14ac:dyDescent="0.2">
      <c r="A16" s="101" t="s">
        <v>228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3"/>
    </row>
    <row r="17" spans="1:12" ht="19.5" customHeight="1" x14ac:dyDescent="0.2">
      <c r="A17" s="99" t="s">
        <v>229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100"/>
    </row>
    <row r="18" spans="1:12" ht="19.5" customHeight="1" x14ac:dyDescent="0.2">
      <c r="A18" s="101" t="s">
        <v>230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3"/>
    </row>
    <row r="19" spans="1:12" ht="19.5" customHeight="1" x14ac:dyDescent="0.2">
      <c r="A19" s="99" t="s">
        <v>231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100"/>
    </row>
    <row r="20" spans="1:12" ht="19.5" customHeight="1" x14ac:dyDescent="0.2">
      <c r="A20" s="101" t="s">
        <v>232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3"/>
    </row>
    <row r="21" spans="1:12" ht="19.5" customHeight="1" x14ac:dyDescent="0.2">
      <c r="A21" s="99" t="s">
        <v>233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100"/>
    </row>
    <row r="22" spans="1:12" ht="19.5" customHeight="1" x14ac:dyDescent="0.2">
      <c r="A22" s="101" t="s">
        <v>234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3"/>
    </row>
    <row r="23" spans="1:12" ht="19.5" customHeight="1" x14ac:dyDescent="0.2">
      <c r="A23" s="99" t="s">
        <v>235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100"/>
    </row>
    <row r="24" spans="1:12" ht="19.5" customHeight="1" x14ac:dyDescent="0.2">
      <c r="A24" s="101" t="s">
        <v>236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</row>
    <row r="25" spans="1:12" ht="19.5" customHeight="1" x14ac:dyDescent="0.2">
      <c r="A25" s="99" t="s">
        <v>237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100"/>
    </row>
    <row r="26" spans="1:12" ht="19.5" customHeight="1" x14ac:dyDescent="0.2">
      <c r="A26" s="101" t="s">
        <v>238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19.5" customHeight="1" x14ac:dyDescent="0.2">
      <c r="A27" s="99" t="s">
        <v>239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100"/>
    </row>
    <row r="28" spans="1:12" ht="19.5" customHeight="1" x14ac:dyDescent="0.2">
      <c r="A28" s="101" t="s">
        <v>240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3"/>
    </row>
    <row r="29" spans="1:12" ht="19.5" customHeight="1" x14ac:dyDescent="0.2">
      <c r="A29" s="99" t="s">
        <v>241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100"/>
    </row>
    <row r="30" spans="1:12" ht="19.5" customHeight="1" x14ac:dyDescent="0.2">
      <c r="A30" s="101" t="s">
        <v>242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3"/>
    </row>
    <row r="31" spans="1:12" ht="19.5" customHeight="1" x14ac:dyDescent="0.2">
      <c r="A31" s="99" t="s">
        <v>243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100"/>
    </row>
    <row r="32" spans="1:12" ht="19.5" customHeight="1" x14ac:dyDescent="0.2">
      <c r="A32" s="101" t="s">
        <v>244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3"/>
    </row>
    <row r="33" spans="1:12" ht="19.5" customHeight="1" x14ac:dyDescent="0.2">
      <c r="A33" s="99" t="s">
        <v>245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100"/>
    </row>
    <row r="34" spans="1:12" ht="19.5" customHeight="1" x14ac:dyDescent="0.2">
      <c r="A34" s="101" t="s">
        <v>246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3"/>
    </row>
    <row r="35" spans="1:12" ht="19.5" customHeight="1" x14ac:dyDescent="0.2">
      <c r="A35" s="99" t="s">
        <v>247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100"/>
    </row>
    <row r="36" spans="1:12" ht="19.5" customHeight="1" x14ac:dyDescent="0.2">
      <c r="A36" s="101" t="s">
        <v>248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3"/>
    </row>
    <row r="37" spans="1:12" ht="19.5" customHeight="1" x14ac:dyDescent="0.2">
      <c r="A37" s="99" t="s">
        <v>249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100"/>
    </row>
    <row r="38" spans="1:12" ht="19.5" customHeight="1" x14ac:dyDescent="0.2">
      <c r="A38" s="101" t="s">
        <v>250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3"/>
    </row>
    <row r="39" spans="1:12" ht="19.5" customHeight="1" x14ac:dyDescent="0.2">
      <c r="A39" s="99" t="s">
        <v>251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100"/>
    </row>
    <row r="40" spans="1:12" ht="19.5" customHeight="1" x14ac:dyDescent="0.2">
      <c r="A40" s="101" t="s">
        <v>252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3"/>
    </row>
    <row r="41" spans="1:12" ht="19.5" customHeight="1" x14ac:dyDescent="0.2">
      <c r="A41" s="99" t="s">
        <v>253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100"/>
    </row>
    <row r="42" spans="1:12" ht="19.5" customHeight="1" x14ac:dyDescent="0.2">
      <c r="A42" s="101" t="s">
        <v>254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3"/>
    </row>
    <row r="43" spans="1:12" ht="19.5" customHeight="1" x14ac:dyDescent="0.2">
      <c r="A43" s="99" t="s">
        <v>255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100"/>
    </row>
    <row r="44" spans="1:12" ht="19.5" customHeight="1" x14ac:dyDescent="0.2">
      <c r="A44" s="101" t="s">
        <v>256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3"/>
    </row>
    <row r="45" spans="1:12" ht="19.5" customHeight="1" x14ac:dyDescent="0.2">
      <c r="A45" s="99" t="s">
        <v>257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100"/>
    </row>
    <row r="46" spans="1:12" ht="19.5" customHeight="1" x14ac:dyDescent="0.2">
      <c r="A46" s="101" t="s">
        <v>258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3"/>
    </row>
    <row r="47" spans="1:12" ht="19.5" customHeight="1" x14ac:dyDescent="0.2">
      <c r="A47" s="99" t="s">
        <v>259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100"/>
    </row>
    <row r="48" spans="1:12" ht="19.5" customHeight="1" x14ac:dyDescent="0.2">
      <c r="A48" s="101" t="s">
        <v>260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 ht="19.5" customHeight="1" x14ac:dyDescent="0.2">
      <c r="A49" s="99" t="s">
        <v>261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100"/>
    </row>
    <row r="50" spans="1:12" ht="19.5" customHeight="1" x14ac:dyDescent="0.2">
      <c r="A50" s="101" t="s">
        <v>262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3"/>
    </row>
    <row r="51" spans="1:12" ht="19.5" customHeight="1" x14ac:dyDescent="0.2">
      <c r="A51" s="99" t="s">
        <v>263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100"/>
    </row>
    <row r="52" spans="1:12" ht="19.5" customHeight="1" x14ac:dyDescent="0.2">
      <c r="A52" s="101" t="s">
        <v>264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3"/>
    </row>
    <row r="53" spans="1:12" ht="19.5" customHeight="1" x14ac:dyDescent="0.2">
      <c r="A53" s="99" t="s">
        <v>265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100"/>
    </row>
    <row r="54" spans="1:12" ht="19.5" customHeight="1" x14ac:dyDescent="0.2">
      <c r="A54" s="101" t="s">
        <v>266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3"/>
    </row>
  </sheetData>
  <mergeCells count="1">
    <mergeCell ref="A1:L1"/>
  </mergeCells>
  <conditionalFormatting sqref="L5:L54">
    <cfRule type="expression" dxfId="3" priority="2">
      <formula>L5="Completed"</formula>
    </cfRule>
    <cfRule type="expression" dxfId="2" priority="3">
      <formula>L5="Pending"</formula>
    </cfRule>
    <cfRule type="expression" dxfId="1" priority="4">
      <formula>L5="Cancelled"</formula>
    </cfRule>
    <cfRule type="expression" dxfId="0" priority="5">
      <formula>L5="Confirmed"</formula>
    </cfRule>
  </conditionalFormatting>
  <dataValidations count="3">
    <dataValidation type="list" allowBlank="1" showInputMessage="1" showErrorMessage="1" sqref="G5:G54" xr:uid="{00000000-0002-0000-0600-000000000000}">
      <formula1>"Main Inventory,North Copenhagen,GVX 03 - Gavle,Conapto S4"</formula1>
      <formula2>0</formula2>
    </dataValidation>
    <dataValidation type="list" allowBlank="1" sqref="H5:H54" xr:uid="{00000000-0002-0000-0600-000001000000}">
      <formula1>"Main Inventory,North Copenhagen,GVX 03 - Gavle,Conapto S4"</formula1>
      <formula2>0</formula2>
    </dataValidation>
    <dataValidation type="list" allowBlank="1" sqref="L5:L54" xr:uid="{00000000-0002-0000-0600-000002000000}">
      <formula1>"Pending,Confirmed,Completed,Cancelled"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33C00"/>
  </sheetPr>
  <dimension ref="A1:L109"/>
  <sheetViews>
    <sheetView zoomScaleNormal="100" workbookViewId="0">
      <pane ySplit="11" topLeftCell="A12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5" customWidth="1"/>
    <col min="2" max="2" width="8" customWidth="1"/>
    <col min="3" max="3" width="24" customWidth="1"/>
    <col min="4" max="4" width="30" customWidth="1"/>
    <col min="5" max="5" width="10" customWidth="1"/>
    <col min="6" max="6" width="22" customWidth="1"/>
    <col min="7" max="8" width="20" customWidth="1"/>
    <col min="9" max="10" width="18" customWidth="1"/>
    <col min="11" max="11" width="22" customWidth="1"/>
    <col min="12" max="12" width="18" customWidth="1"/>
  </cols>
  <sheetData>
    <row r="1" spans="1:12" ht="45" customHeight="1" x14ac:dyDescent="0.2">
      <c r="A1" s="146" t="s">
        <v>267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2" ht="24" customHeight="1" x14ac:dyDescent="0.2">
      <c r="A2" s="43" t="str">
        <f>HYPERLINK("#'Main Inventory'!A1","&lt;&lt; Main Inventory")</f>
        <v>&lt;&lt; Main Inventory</v>
      </c>
      <c r="B2" s="44" t="s">
        <v>268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7.5" customHeight="1" x14ac:dyDescent="0.2"/>
    <row r="4" spans="1:12" ht="24" customHeight="1" x14ac:dyDescent="0.2">
      <c r="A4" s="104"/>
      <c r="B4" s="105" t="s">
        <v>269</v>
      </c>
      <c r="C4" s="144"/>
      <c r="D4" s="144"/>
      <c r="E4" s="144"/>
      <c r="F4" s="144"/>
      <c r="G4" s="106"/>
      <c r="H4" s="147" t="s">
        <v>270</v>
      </c>
      <c r="I4" s="147"/>
      <c r="J4" s="147"/>
      <c r="K4" s="148"/>
      <c r="L4" s="148"/>
    </row>
    <row r="5" spans="1:12" ht="24" customHeight="1" x14ac:dyDescent="0.2">
      <c r="A5" s="104"/>
      <c r="B5" s="105" t="s">
        <v>182</v>
      </c>
      <c r="C5" s="144"/>
      <c r="D5" s="144"/>
      <c r="E5" s="144"/>
      <c r="F5" s="144"/>
      <c r="G5" s="106"/>
      <c r="H5" s="147" t="s">
        <v>271</v>
      </c>
      <c r="I5" s="147"/>
      <c r="J5" s="147"/>
      <c r="K5" s="148"/>
      <c r="L5" s="148"/>
    </row>
    <row r="6" spans="1:12" ht="24" customHeight="1" x14ac:dyDescent="0.2">
      <c r="A6" s="104"/>
      <c r="B6" s="105" t="s">
        <v>272</v>
      </c>
      <c r="C6" s="144"/>
      <c r="D6" s="144"/>
      <c r="E6" s="144"/>
      <c r="F6" s="144"/>
      <c r="G6" s="106"/>
      <c r="H6" s="106"/>
      <c r="I6" s="106"/>
      <c r="J6" s="106"/>
      <c r="K6" s="106"/>
      <c r="L6" s="106"/>
    </row>
    <row r="7" spans="1:12" ht="24" customHeight="1" x14ac:dyDescent="0.2">
      <c r="A7" s="104"/>
      <c r="B7" s="105" t="s">
        <v>273</v>
      </c>
      <c r="C7" s="144"/>
      <c r="D7" s="144"/>
      <c r="E7" s="144"/>
      <c r="F7" s="144"/>
      <c r="G7" s="106"/>
      <c r="H7" s="106"/>
      <c r="I7" s="106"/>
      <c r="J7" s="106"/>
      <c r="K7" s="106"/>
      <c r="L7" s="106"/>
    </row>
    <row r="8" spans="1:12" ht="24" customHeight="1" x14ac:dyDescent="0.2">
      <c r="A8" s="104"/>
      <c r="B8" s="105" t="s">
        <v>274</v>
      </c>
      <c r="C8" s="144"/>
      <c r="D8" s="144"/>
      <c r="E8" s="144"/>
      <c r="F8" s="144"/>
      <c r="G8" s="106"/>
      <c r="H8" s="106"/>
      <c r="I8" s="106"/>
      <c r="J8" s="106"/>
      <c r="K8" s="106"/>
      <c r="L8" s="106"/>
    </row>
    <row r="9" spans="1:12" ht="24" customHeight="1" x14ac:dyDescent="0.2">
      <c r="A9" s="104"/>
      <c r="B9" s="105" t="s">
        <v>275</v>
      </c>
      <c r="C9" s="144"/>
      <c r="D9" s="144"/>
      <c r="E9" s="144"/>
      <c r="F9" s="144"/>
      <c r="G9" s="106"/>
      <c r="H9" s="106"/>
      <c r="I9" s="106"/>
      <c r="J9" s="106"/>
      <c r="K9" s="106"/>
      <c r="L9" s="106"/>
    </row>
    <row r="10" spans="1:12" ht="7.5" customHeight="1" x14ac:dyDescent="0.2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</row>
    <row r="11" spans="1:12" ht="37.5" customHeight="1" x14ac:dyDescent="0.2">
      <c r="A11" s="108" t="s">
        <v>51</v>
      </c>
      <c r="B11" s="108" t="s">
        <v>52</v>
      </c>
      <c r="C11" s="108" t="s">
        <v>3</v>
      </c>
      <c r="D11" s="108" t="s">
        <v>4</v>
      </c>
      <c r="E11" s="108" t="s">
        <v>186</v>
      </c>
      <c r="F11" s="108" t="s">
        <v>54</v>
      </c>
      <c r="G11" s="108" t="s">
        <v>276</v>
      </c>
      <c r="H11" s="108" t="s">
        <v>277</v>
      </c>
      <c r="I11" s="108" t="s">
        <v>278</v>
      </c>
      <c r="J11" s="108" t="s">
        <v>279</v>
      </c>
      <c r="K11" s="108" t="s">
        <v>280</v>
      </c>
      <c r="L11" s="108" t="s">
        <v>216</v>
      </c>
    </row>
    <row r="12" spans="1:12" ht="18" customHeight="1" x14ac:dyDescent="0.2">
      <c r="A12" s="46">
        <v>1</v>
      </c>
      <c r="B12" s="47">
        <v>1</v>
      </c>
      <c r="C12" s="76" t="s">
        <v>7</v>
      </c>
      <c r="D12" s="109" t="s">
        <v>8</v>
      </c>
      <c r="E12" s="110">
        <v>1</v>
      </c>
      <c r="F12" s="111" t="s">
        <v>59</v>
      </c>
      <c r="G12" s="112"/>
      <c r="H12" s="112"/>
      <c r="I12" s="112"/>
      <c r="J12" s="113"/>
      <c r="K12" s="113"/>
      <c r="L12" s="113"/>
    </row>
    <row r="13" spans="1:12" ht="18" customHeight="1" x14ac:dyDescent="0.2">
      <c r="A13" s="46">
        <v>2</v>
      </c>
      <c r="B13" s="47">
        <v>2</v>
      </c>
      <c r="C13" s="76" t="s">
        <v>7</v>
      </c>
      <c r="D13" s="109" t="s">
        <v>9</v>
      </c>
      <c r="E13" s="110">
        <v>1</v>
      </c>
      <c r="F13" s="114" t="s">
        <v>64</v>
      </c>
      <c r="G13" s="112"/>
      <c r="H13" s="112"/>
      <c r="I13" s="112"/>
      <c r="J13" s="113"/>
      <c r="K13" s="113"/>
      <c r="L13" s="113"/>
    </row>
    <row r="14" spans="1:12" ht="18" customHeight="1" x14ac:dyDescent="0.2">
      <c r="A14" s="115">
        <v>3</v>
      </c>
      <c r="B14" s="28">
        <v>3</v>
      </c>
      <c r="C14" s="76" t="s">
        <v>7</v>
      </c>
      <c r="D14" s="29" t="s">
        <v>10</v>
      </c>
      <c r="E14" s="54" t="s">
        <v>192</v>
      </c>
      <c r="F14" s="116" t="s">
        <v>281</v>
      </c>
      <c r="G14" s="117"/>
      <c r="H14" s="117"/>
      <c r="I14" s="117"/>
      <c r="J14" s="117"/>
      <c r="K14" s="117"/>
      <c r="L14" s="117"/>
    </row>
    <row r="15" spans="1:12" ht="18" customHeight="1" x14ac:dyDescent="0.2">
      <c r="A15" s="58">
        <v>4</v>
      </c>
      <c r="B15" s="59">
        <v>4</v>
      </c>
      <c r="C15" s="84" t="s">
        <v>11</v>
      </c>
      <c r="D15" s="118" t="s">
        <v>12</v>
      </c>
      <c r="E15" s="119">
        <v>20</v>
      </c>
      <c r="F15" s="120" t="s">
        <v>71</v>
      </c>
      <c r="G15" s="121"/>
      <c r="H15" s="121"/>
      <c r="I15" s="121"/>
      <c r="J15" s="122"/>
      <c r="K15" s="122"/>
      <c r="L15" s="122"/>
    </row>
    <row r="16" spans="1:12" ht="18" customHeight="1" x14ac:dyDescent="0.2">
      <c r="A16" s="58"/>
      <c r="B16" s="59"/>
      <c r="C16" s="123"/>
      <c r="D16" s="118"/>
      <c r="E16" s="119"/>
      <c r="F16" s="120" t="s">
        <v>74</v>
      </c>
      <c r="G16" s="121"/>
      <c r="H16" s="121"/>
      <c r="I16" s="121"/>
      <c r="J16" s="122"/>
      <c r="K16" s="122"/>
      <c r="L16" s="122"/>
    </row>
    <row r="17" spans="1:12" ht="18" customHeight="1" x14ac:dyDescent="0.2">
      <c r="A17" s="58"/>
      <c r="B17" s="59"/>
      <c r="C17" s="123"/>
      <c r="D17" s="118"/>
      <c r="E17" s="119"/>
      <c r="F17" s="120" t="s">
        <v>75</v>
      </c>
      <c r="G17" s="121"/>
      <c r="H17" s="121"/>
      <c r="I17" s="121"/>
      <c r="J17" s="122"/>
      <c r="K17" s="122"/>
      <c r="L17" s="122"/>
    </row>
    <row r="18" spans="1:12" ht="18" customHeight="1" x14ac:dyDescent="0.2">
      <c r="A18" s="58"/>
      <c r="B18" s="59"/>
      <c r="C18" s="123"/>
      <c r="D18" s="118"/>
      <c r="E18" s="119"/>
      <c r="F18" s="120" t="s">
        <v>76</v>
      </c>
      <c r="G18" s="121"/>
      <c r="H18" s="121"/>
      <c r="I18" s="121"/>
      <c r="J18" s="122"/>
      <c r="K18" s="122"/>
      <c r="L18" s="122"/>
    </row>
    <row r="19" spans="1:12" ht="18" customHeight="1" x14ac:dyDescent="0.2">
      <c r="A19" s="58"/>
      <c r="B19" s="59"/>
      <c r="C19" s="123"/>
      <c r="D19" s="118"/>
      <c r="E19" s="119"/>
      <c r="F19" s="120" t="s">
        <v>78</v>
      </c>
      <c r="G19" s="121"/>
      <c r="H19" s="121"/>
      <c r="I19" s="121"/>
      <c r="J19" s="122"/>
      <c r="K19" s="122"/>
      <c r="L19" s="122"/>
    </row>
    <row r="20" spans="1:12" ht="18" customHeight="1" x14ac:dyDescent="0.2">
      <c r="A20" s="62"/>
      <c r="B20" s="63"/>
      <c r="C20" s="124"/>
      <c r="D20" s="125"/>
      <c r="E20" s="126"/>
      <c r="F20" s="127" t="s">
        <v>80</v>
      </c>
      <c r="G20" s="128"/>
      <c r="H20" s="128"/>
      <c r="I20" s="128"/>
      <c r="J20" s="129"/>
      <c r="K20" s="129"/>
      <c r="L20" s="129"/>
    </row>
    <row r="21" spans="1:12" ht="18" customHeight="1" x14ac:dyDescent="0.2">
      <c r="A21" s="62"/>
      <c r="B21" s="63"/>
      <c r="C21" s="124"/>
      <c r="D21" s="125"/>
      <c r="E21" s="126"/>
      <c r="F21" s="127" t="s">
        <v>81</v>
      </c>
      <c r="G21" s="128"/>
      <c r="H21" s="128"/>
      <c r="I21" s="128"/>
      <c r="J21" s="129"/>
      <c r="K21" s="129"/>
      <c r="L21" s="129"/>
    </row>
    <row r="22" spans="1:12" ht="18" customHeight="1" x14ac:dyDescent="0.2">
      <c r="A22" s="62"/>
      <c r="B22" s="63"/>
      <c r="C22" s="124"/>
      <c r="D22" s="125"/>
      <c r="E22" s="126"/>
      <c r="F22" s="127" t="s">
        <v>82</v>
      </c>
      <c r="G22" s="128"/>
      <c r="H22" s="128"/>
      <c r="I22" s="128"/>
      <c r="J22" s="129"/>
      <c r="K22" s="129"/>
      <c r="L22" s="129"/>
    </row>
    <row r="23" spans="1:12" ht="18" customHeight="1" x14ac:dyDescent="0.2">
      <c r="A23" s="62"/>
      <c r="B23" s="63"/>
      <c r="C23" s="124"/>
      <c r="D23" s="125"/>
      <c r="E23" s="126"/>
      <c r="F23" s="127" t="s">
        <v>83</v>
      </c>
      <c r="G23" s="128"/>
      <c r="H23" s="128"/>
      <c r="I23" s="128"/>
      <c r="J23" s="129"/>
      <c r="K23" s="129"/>
      <c r="L23" s="129"/>
    </row>
    <row r="24" spans="1:12" ht="18" customHeight="1" x14ac:dyDescent="0.2">
      <c r="A24" s="62"/>
      <c r="B24" s="63"/>
      <c r="C24" s="124"/>
      <c r="D24" s="125"/>
      <c r="E24" s="126"/>
      <c r="F24" s="127" t="s">
        <v>84</v>
      </c>
      <c r="G24" s="128"/>
      <c r="H24" s="128"/>
      <c r="I24" s="128"/>
      <c r="J24" s="129"/>
      <c r="K24" s="129"/>
      <c r="L24" s="129"/>
    </row>
    <row r="25" spans="1:12" ht="18" customHeight="1" x14ac:dyDescent="0.2">
      <c r="A25" s="62"/>
      <c r="B25" s="63"/>
      <c r="C25" s="124"/>
      <c r="D25" s="125"/>
      <c r="E25" s="126"/>
      <c r="F25" s="127" t="s">
        <v>85</v>
      </c>
      <c r="G25" s="128"/>
      <c r="H25" s="128"/>
      <c r="I25" s="128"/>
      <c r="J25" s="129"/>
      <c r="K25" s="129"/>
      <c r="L25" s="129"/>
    </row>
    <row r="26" spans="1:12" ht="18" customHeight="1" x14ac:dyDescent="0.2">
      <c r="A26" s="62"/>
      <c r="B26" s="63"/>
      <c r="C26" s="124"/>
      <c r="D26" s="125"/>
      <c r="E26" s="126"/>
      <c r="F26" s="127" t="s">
        <v>87</v>
      </c>
      <c r="G26" s="128"/>
      <c r="H26" s="128"/>
      <c r="I26" s="128"/>
      <c r="J26" s="129"/>
      <c r="K26" s="129"/>
      <c r="L26" s="129"/>
    </row>
    <row r="27" spans="1:12" ht="18" customHeight="1" x14ac:dyDescent="0.2">
      <c r="A27" s="62"/>
      <c r="B27" s="63"/>
      <c r="C27" s="124"/>
      <c r="D27" s="125"/>
      <c r="E27" s="126"/>
      <c r="F27" s="127" t="s">
        <v>88</v>
      </c>
      <c r="G27" s="128"/>
      <c r="H27" s="128"/>
      <c r="I27" s="128"/>
      <c r="J27" s="129"/>
      <c r="K27" s="129"/>
      <c r="L27" s="129"/>
    </row>
    <row r="28" spans="1:12" ht="18" customHeight="1" x14ac:dyDescent="0.2">
      <c r="A28" s="62"/>
      <c r="B28" s="63"/>
      <c r="C28" s="124"/>
      <c r="D28" s="125"/>
      <c r="E28" s="126"/>
      <c r="F28" s="127" t="s">
        <v>89</v>
      </c>
      <c r="G28" s="128"/>
      <c r="H28" s="128"/>
      <c r="I28" s="128"/>
      <c r="J28" s="129"/>
      <c r="K28" s="129"/>
      <c r="L28" s="129"/>
    </row>
    <row r="29" spans="1:12" ht="18" customHeight="1" x14ac:dyDescent="0.2">
      <c r="A29" s="62"/>
      <c r="B29" s="63"/>
      <c r="C29" s="124"/>
      <c r="D29" s="125"/>
      <c r="E29" s="126"/>
      <c r="F29" s="127" t="s">
        <v>90</v>
      </c>
      <c r="G29" s="128"/>
      <c r="H29" s="128"/>
      <c r="I29" s="128"/>
      <c r="J29" s="129"/>
      <c r="K29" s="129"/>
      <c r="L29" s="129"/>
    </row>
    <row r="30" spans="1:12" ht="18" customHeight="1" x14ac:dyDescent="0.2">
      <c r="A30" s="62"/>
      <c r="B30" s="63"/>
      <c r="C30" s="124"/>
      <c r="D30" s="125"/>
      <c r="E30" s="126"/>
      <c r="F30" s="127" t="s">
        <v>91</v>
      </c>
      <c r="G30" s="128"/>
      <c r="H30" s="128"/>
      <c r="I30" s="128"/>
      <c r="J30" s="129"/>
      <c r="K30" s="129"/>
      <c r="L30" s="129"/>
    </row>
    <row r="31" spans="1:12" ht="18" customHeight="1" x14ac:dyDescent="0.2">
      <c r="A31" s="46"/>
      <c r="B31" s="47"/>
      <c r="C31" s="130"/>
      <c r="D31" s="109"/>
      <c r="E31" s="110"/>
      <c r="F31" s="111" t="s">
        <v>92</v>
      </c>
      <c r="G31" s="112"/>
      <c r="H31" s="112"/>
      <c r="I31" s="112"/>
      <c r="J31" s="113"/>
      <c r="K31" s="113"/>
      <c r="L31" s="113"/>
    </row>
    <row r="32" spans="1:12" ht="18" customHeight="1" x14ac:dyDescent="0.2">
      <c r="A32" s="46"/>
      <c r="B32" s="47"/>
      <c r="C32" s="130"/>
      <c r="D32" s="109"/>
      <c r="E32" s="110"/>
      <c r="F32" s="111" t="s">
        <v>94</v>
      </c>
      <c r="G32" s="112"/>
      <c r="H32" s="112"/>
      <c r="I32" s="112"/>
      <c r="J32" s="113"/>
      <c r="K32" s="113"/>
      <c r="L32" s="113"/>
    </row>
    <row r="33" spans="1:12" ht="18" customHeight="1" x14ac:dyDescent="0.2">
      <c r="A33" s="46"/>
      <c r="B33" s="47"/>
      <c r="C33" s="130"/>
      <c r="D33" s="109"/>
      <c r="E33" s="110"/>
      <c r="F33" s="111" t="s">
        <v>95</v>
      </c>
      <c r="G33" s="112"/>
      <c r="H33" s="112"/>
      <c r="I33" s="112"/>
      <c r="J33" s="113"/>
      <c r="K33" s="113"/>
      <c r="L33" s="113"/>
    </row>
    <row r="34" spans="1:12" ht="18" customHeight="1" x14ac:dyDescent="0.2">
      <c r="A34" s="46"/>
      <c r="B34" s="47"/>
      <c r="C34" s="130"/>
      <c r="D34" s="109"/>
      <c r="E34" s="110"/>
      <c r="F34" s="111" t="s">
        <v>96</v>
      </c>
      <c r="G34" s="112"/>
      <c r="H34" s="112"/>
      <c r="I34" s="112"/>
      <c r="J34" s="113"/>
      <c r="K34" s="113"/>
      <c r="L34" s="113"/>
    </row>
    <row r="35" spans="1:12" ht="18" customHeight="1" x14ac:dyDescent="0.2">
      <c r="A35" s="58">
        <v>5</v>
      </c>
      <c r="B35" s="59">
        <v>5</v>
      </c>
      <c r="C35" s="84" t="s">
        <v>11</v>
      </c>
      <c r="D35" s="118" t="s">
        <v>13</v>
      </c>
      <c r="E35" s="119">
        <v>23</v>
      </c>
      <c r="F35" s="120" t="s">
        <v>99</v>
      </c>
      <c r="G35" s="121"/>
      <c r="H35" s="121"/>
      <c r="I35" s="121"/>
      <c r="J35" s="122"/>
      <c r="K35" s="122"/>
      <c r="L35" s="122"/>
    </row>
    <row r="36" spans="1:12" ht="18" customHeight="1" x14ac:dyDescent="0.2">
      <c r="A36" s="58"/>
      <c r="B36" s="59"/>
      <c r="C36" s="123"/>
      <c r="D36" s="118"/>
      <c r="E36" s="119"/>
      <c r="F36" s="120" t="s">
        <v>101</v>
      </c>
      <c r="G36" s="121"/>
      <c r="H36" s="121"/>
      <c r="I36" s="121"/>
      <c r="J36" s="122"/>
      <c r="K36" s="122"/>
      <c r="L36" s="122"/>
    </row>
    <row r="37" spans="1:12" ht="18" customHeight="1" x14ac:dyDescent="0.2">
      <c r="A37" s="58"/>
      <c r="B37" s="59"/>
      <c r="C37" s="123"/>
      <c r="D37" s="118"/>
      <c r="E37" s="119"/>
      <c r="F37" s="120" t="s">
        <v>102</v>
      </c>
      <c r="G37" s="121"/>
      <c r="H37" s="121"/>
      <c r="I37" s="121"/>
      <c r="J37" s="122"/>
      <c r="K37" s="122"/>
      <c r="L37" s="122"/>
    </row>
    <row r="38" spans="1:12" ht="18" customHeight="1" x14ac:dyDescent="0.2">
      <c r="A38" s="58"/>
      <c r="B38" s="59"/>
      <c r="C38" s="123"/>
      <c r="D38" s="118"/>
      <c r="E38" s="119"/>
      <c r="F38" s="120" t="s">
        <v>103</v>
      </c>
      <c r="G38" s="121"/>
      <c r="H38" s="121"/>
      <c r="I38" s="121"/>
      <c r="J38" s="122"/>
      <c r="K38" s="122"/>
      <c r="L38" s="122"/>
    </row>
    <row r="39" spans="1:12" ht="18" customHeight="1" x14ac:dyDescent="0.2">
      <c r="A39" s="58"/>
      <c r="B39" s="59"/>
      <c r="C39" s="123"/>
      <c r="D39" s="118"/>
      <c r="E39" s="119"/>
      <c r="F39" s="120" t="s">
        <v>104</v>
      </c>
      <c r="G39" s="121"/>
      <c r="H39" s="121"/>
      <c r="I39" s="121"/>
      <c r="J39" s="122"/>
      <c r="K39" s="122"/>
      <c r="L39" s="122"/>
    </row>
    <row r="40" spans="1:12" ht="18" customHeight="1" x14ac:dyDescent="0.2">
      <c r="A40" s="58"/>
      <c r="B40" s="59"/>
      <c r="C40" s="123"/>
      <c r="D40" s="118"/>
      <c r="E40" s="119"/>
      <c r="F40" s="120" t="s">
        <v>105</v>
      </c>
      <c r="G40" s="121"/>
      <c r="H40" s="121"/>
      <c r="I40" s="121"/>
      <c r="J40" s="122"/>
      <c r="K40" s="122"/>
      <c r="L40" s="122"/>
    </row>
    <row r="41" spans="1:12" ht="18" customHeight="1" x14ac:dyDescent="0.2">
      <c r="A41" s="62"/>
      <c r="B41" s="63"/>
      <c r="C41" s="124"/>
      <c r="D41" s="125"/>
      <c r="E41" s="126"/>
      <c r="F41" s="127" t="s">
        <v>106</v>
      </c>
      <c r="G41" s="128"/>
      <c r="H41" s="128"/>
      <c r="I41" s="128"/>
      <c r="J41" s="129"/>
      <c r="K41" s="129"/>
      <c r="L41" s="129"/>
    </row>
    <row r="42" spans="1:12" ht="18" customHeight="1" x14ac:dyDescent="0.2">
      <c r="A42" s="62"/>
      <c r="B42" s="63"/>
      <c r="C42" s="124"/>
      <c r="D42" s="125"/>
      <c r="E42" s="126"/>
      <c r="F42" s="127" t="s">
        <v>107</v>
      </c>
      <c r="G42" s="128"/>
      <c r="H42" s="128"/>
      <c r="I42" s="128"/>
      <c r="J42" s="129"/>
      <c r="K42" s="129"/>
      <c r="L42" s="129"/>
    </row>
    <row r="43" spans="1:12" ht="18" customHeight="1" x14ac:dyDescent="0.2">
      <c r="A43" s="62"/>
      <c r="B43" s="63"/>
      <c r="C43" s="124"/>
      <c r="D43" s="125"/>
      <c r="E43" s="126"/>
      <c r="F43" s="127" t="s">
        <v>108</v>
      </c>
      <c r="G43" s="128"/>
      <c r="H43" s="128"/>
      <c r="I43" s="128"/>
      <c r="J43" s="129"/>
      <c r="K43" s="129"/>
      <c r="L43" s="129"/>
    </row>
    <row r="44" spans="1:12" ht="18" customHeight="1" x14ac:dyDescent="0.2">
      <c r="A44" s="62"/>
      <c r="B44" s="63"/>
      <c r="C44" s="124"/>
      <c r="D44" s="125"/>
      <c r="E44" s="126"/>
      <c r="F44" s="127" t="s">
        <v>109</v>
      </c>
      <c r="G44" s="128"/>
      <c r="H44" s="128"/>
      <c r="I44" s="128"/>
      <c r="J44" s="129"/>
      <c r="K44" s="129"/>
      <c r="L44" s="129"/>
    </row>
    <row r="45" spans="1:12" ht="18" customHeight="1" x14ac:dyDescent="0.2">
      <c r="A45" s="62"/>
      <c r="B45" s="63"/>
      <c r="C45" s="124"/>
      <c r="D45" s="125"/>
      <c r="E45" s="126"/>
      <c r="F45" s="127" t="s">
        <v>110</v>
      </c>
      <c r="G45" s="128"/>
      <c r="H45" s="128"/>
      <c r="I45" s="128"/>
      <c r="J45" s="129"/>
      <c r="K45" s="129"/>
      <c r="L45" s="129"/>
    </row>
    <row r="46" spans="1:12" ht="18" customHeight="1" x14ac:dyDescent="0.2">
      <c r="A46" s="62"/>
      <c r="B46" s="63"/>
      <c r="C46" s="124"/>
      <c r="D46" s="125"/>
      <c r="E46" s="126"/>
      <c r="F46" s="127" t="s">
        <v>87</v>
      </c>
      <c r="G46" s="128"/>
      <c r="H46" s="128"/>
      <c r="I46" s="128"/>
      <c r="J46" s="129"/>
      <c r="K46" s="129"/>
      <c r="L46" s="129"/>
    </row>
    <row r="47" spans="1:12" ht="18" customHeight="1" x14ac:dyDescent="0.2">
      <c r="A47" s="62"/>
      <c r="B47" s="63"/>
      <c r="C47" s="124"/>
      <c r="D47" s="125"/>
      <c r="E47" s="126"/>
      <c r="F47" s="127" t="s">
        <v>111</v>
      </c>
      <c r="G47" s="128"/>
      <c r="H47" s="128"/>
      <c r="I47" s="128"/>
      <c r="J47" s="129"/>
      <c r="K47" s="129"/>
      <c r="L47" s="129"/>
    </row>
    <row r="48" spans="1:12" ht="18" customHeight="1" x14ac:dyDescent="0.2">
      <c r="A48" s="62"/>
      <c r="B48" s="63"/>
      <c r="C48" s="124"/>
      <c r="D48" s="125"/>
      <c r="E48" s="126"/>
      <c r="F48" s="127" t="s">
        <v>112</v>
      </c>
      <c r="G48" s="128"/>
      <c r="H48" s="128"/>
      <c r="I48" s="128"/>
      <c r="J48" s="129"/>
      <c r="K48" s="129"/>
      <c r="L48" s="129"/>
    </row>
    <row r="49" spans="1:12" ht="18" customHeight="1" x14ac:dyDescent="0.2">
      <c r="A49" s="62"/>
      <c r="B49" s="63"/>
      <c r="C49" s="124"/>
      <c r="D49" s="125"/>
      <c r="E49" s="126"/>
      <c r="F49" s="127" t="s">
        <v>113</v>
      </c>
      <c r="G49" s="128"/>
      <c r="H49" s="128"/>
      <c r="I49" s="128"/>
      <c r="J49" s="129"/>
      <c r="K49" s="129"/>
      <c r="L49" s="129"/>
    </row>
    <row r="50" spans="1:12" ht="18" customHeight="1" x14ac:dyDescent="0.2">
      <c r="A50" s="62"/>
      <c r="B50" s="63"/>
      <c r="C50" s="124"/>
      <c r="D50" s="125"/>
      <c r="E50" s="126"/>
      <c r="F50" s="127" t="s">
        <v>114</v>
      </c>
      <c r="G50" s="128"/>
      <c r="H50" s="128"/>
      <c r="I50" s="128"/>
      <c r="J50" s="129"/>
      <c r="K50" s="129"/>
      <c r="L50" s="129"/>
    </row>
    <row r="51" spans="1:12" ht="18" customHeight="1" x14ac:dyDescent="0.2">
      <c r="A51" s="62"/>
      <c r="B51" s="63"/>
      <c r="C51" s="124"/>
      <c r="D51" s="125"/>
      <c r="E51" s="126"/>
      <c r="F51" s="127" t="s">
        <v>115</v>
      </c>
      <c r="G51" s="128"/>
      <c r="H51" s="128"/>
      <c r="I51" s="128"/>
      <c r="J51" s="129"/>
      <c r="K51" s="129"/>
      <c r="L51" s="129"/>
    </row>
    <row r="52" spans="1:12" ht="18" customHeight="1" x14ac:dyDescent="0.2">
      <c r="A52" s="46"/>
      <c r="B52" s="47"/>
      <c r="C52" s="130"/>
      <c r="D52" s="109"/>
      <c r="E52" s="110"/>
      <c r="F52" s="111" t="s">
        <v>116</v>
      </c>
      <c r="G52" s="112"/>
      <c r="H52" s="112"/>
      <c r="I52" s="112"/>
      <c r="J52" s="113"/>
      <c r="K52" s="113"/>
      <c r="L52" s="113"/>
    </row>
    <row r="53" spans="1:12" ht="18" customHeight="1" x14ac:dyDescent="0.2">
      <c r="A53" s="46"/>
      <c r="B53" s="47"/>
      <c r="C53" s="130"/>
      <c r="D53" s="109"/>
      <c r="E53" s="110"/>
      <c r="F53" s="111" t="s">
        <v>117</v>
      </c>
      <c r="G53" s="112"/>
      <c r="H53" s="112"/>
      <c r="I53" s="112"/>
      <c r="J53" s="113"/>
      <c r="K53" s="113"/>
      <c r="L53" s="113"/>
    </row>
    <row r="54" spans="1:12" ht="18" customHeight="1" x14ac:dyDescent="0.2">
      <c r="A54" s="46"/>
      <c r="B54" s="47"/>
      <c r="C54" s="130"/>
      <c r="D54" s="109"/>
      <c r="E54" s="110"/>
      <c r="F54" s="111" t="s">
        <v>118</v>
      </c>
      <c r="G54" s="112"/>
      <c r="H54" s="112"/>
      <c r="I54" s="112"/>
      <c r="J54" s="113"/>
      <c r="K54" s="113"/>
      <c r="L54" s="113"/>
    </row>
    <row r="55" spans="1:12" ht="18" customHeight="1" x14ac:dyDescent="0.2">
      <c r="A55" s="46"/>
      <c r="B55" s="47"/>
      <c r="C55" s="130"/>
      <c r="D55" s="109"/>
      <c r="E55" s="110"/>
      <c r="F55" s="111" t="s">
        <v>119</v>
      </c>
      <c r="G55" s="112"/>
      <c r="H55" s="112"/>
      <c r="I55" s="112"/>
      <c r="J55" s="113"/>
      <c r="K55" s="113"/>
      <c r="L55" s="113"/>
    </row>
    <row r="56" spans="1:12" ht="18" customHeight="1" x14ac:dyDescent="0.2">
      <c r="A56" s="46"/>
      <c r="B56" s="47"/>
      <c r="C56" s="130"/>
      <c r="D56" s="109"/>
      <c r="E56" s="110"/>
      <c r="F56" s="111" t="s">
        <v>120</v>
      </c>
      <c r="G56" s="112"/>
      <c r="H56" s="112"/>
      <c r="I56" s="112"/>
      <c r="J56" s="113"/>
      <c r="K56" s="113"/>
      <c r="L56" s="113"/>
    </row>
    <row r="57" spans="1:12" ht="18" customHeight="1" x14ac:dyDescent="0.2">
      <c r="A57" s="46"/>
      <c r="B57" s="47"/>
      <c r="C57" s="130"/>
      <c r="D57" s="109"/>
      <c r="E57" s="110"/>
      <c r="F57" s="111" t="s">
        <v>121</v>
      </c>
      <c r="G57" s="112"/>
      <c r="H57" s="112"/>
      <c r="I57" s="112"/>
      <c r="J57" s="113"/>
      <c r="K57" s="113"/>
      <c r="L57" s="113"/>
    </row>
    <row r="58" spans="1:12" ht="18" customHeight="1" x14ac:dyDescent="0.2">
      <c r="A58" s="46">
        <v>6</v>
      </c>
      <c r="B58" s="47">
        <v>6</v>
      </c>
      <c r="C58" s="84" t="s">
        <v>11</v>
      </c>
      <c r="D58" s="109" t="s">
        <v>14</v>
      </c>
      <c r="E58" s="110">
        <v>1</v>
      </c>
      <c r="F58" s="111" t="s">
        <v>123</v>
      </c>
      <c r="G58" s="112"/>
      <c r="H58" s="112"/>
      <c r="I58" s="112"/>
      <c r="J58" s="113"/>
      <c r="K58" s="113"/>
      <c r="L58" s="113"/>
    </row>
    <row r="59" spans="1:12" ht="18" customHeight="1" x14ac:dyDescent="0.2">
      <c r="A59" s="46">
        <v>7</v>
      </c>
      <c r="B59" s="47">
        <v>7</v>
      </c>
      <c r="C59" s="84" t="s">
        <v>11</v>
      </c>
      <c r="D59" s="109" t="s">
        <v>15</v>
      </c>
      <c r="E59" s="110">
        <v>2</v>
      </c>
      <c r="F59" s="111" t="s">
        <v>125</v>
      </c>
      <c r="G59" s="112"/>
      <c r="H59" s="112"/>
      <c r="I59" s="112"/>
      <c r="J59" s="113"/>
      <c r="K59" s="113"/>
      <c r="L59" s="113"/>
    </row>
    <row r="60" spans="1:12" ht="18" customHeight="1" x14ac:dyDescent="0.2">
      <c r="A60" s="46"/>
      <c r="B60" s="47"/>
      <c r="C60" s="130"/>
      <c r="D60" s="109"/>
      <c r="E60" s="110"/>
      <c r="F60" s="111" t="s">
        <v>126</v>
      </c>
      <c r="G60" s="112"/>
      <c r="H60" s="112"/>
      <c r="I60" s="112"/>
      <c r="J60" s="113"/>
      <c r="K60" s="113"/>
      <c r="L60" s="113"/>
    </row>
    <row r="61" spans="1:12" ht="18" customHeight="1" x14ac:dyDescent="0.2">
      <c r="A61" s="46">
        <v>8</v>
      </c>
      <c r="B61" s="47">
        <v>8</v>
      </c>
      <c r="C61" s="84" t="s">
        <v>11</v>
      </c>
      <c r="D61" s="109" t="s">
        <v>16</v>
      </c>
      <c r="E61" s="110">
        <v>4</v>
      </c>
      <c r="F61" s="111" t="s">
        <v>128</v>
      </c>
      <c r="G61" s="112"/>
      <c r="H61" s="112"/>
      <c r="I61" s="112"/>
      <c r="J61" s="113"/>
      <c r="K61" s="113"/>
      <c r="L61" s="113"/>
    </row>
    <row r="62" spans="1:12" ht="18" customHeight="1" x14ac:dyDescent="0.2">
      <c r="A62" s="46"/>
      <c r="B62" s="47"/>
      <c r="C62" s="130"/>
      <c r="D62" s="109"/>
      <c r="E62" s="110"/>
      <c r="F62" s="111" t="s">
        <v>129</v>
      </c>
      <c r="G62" s="112"/>
      <c r="H62" s="112"/>
      <c r="I62" s="112"/>
      <c r="J62" s="113"/>
      <c r="K62" s="113"/>
      <c r="L62" s="113"/>
    </row>
    <row r="63" spans="1:12" ht="18" customHeight="1" x14ac:dyDescent="0.2">
      <c r="A63" s="46"/>
      <c r="B63" s="47"/>
      <c r="C63" s="130"/>
      <c r="D63" s="109"/>
      <c r="E63" s="110"/>
      <c r="F63" s="111" t="s">
        <v>130</v>
      </c>
      <c r="G63" s="112"/>
      <c r="H63" s="112"/>
      <c r="I63" s="112"/>
      <c r="J63" s="113"/>
      <c r="K63" s="113"/>
      <c r="L63" s="113"/>
    </row>
    <row r="64" spans="1:12" ht="18" customHeight="1" x14ac:dyDescent="0.2">
      <c r="A64" s="46"/>
      <c r="B64" s="47"/>
      <c r="C64" s="130"/>
      <c r="D64" s="109"/>
      <c r="E64" s="110"/>
      <c r="F64" s="111" t="s">
        <v>131</v>
      </c>
      <c r="G64" s="112"/>
      <c r="H64" s="112"/>
      <c r="I64" s="112"/>
      <c r="J64" s="113"/>
      <c r="K64" s="113"/>
      <c r="L64" s="113"/>
    </row>
    <row r="65" spans="1:12" ht="18" customHeight="1" x14ac:dyDescent="0.2">
      <c r="A65" s="58">
        <v>9</v>
      </c>
      <c r="B65" s="59">
        <v>9</v>
      </c>
      <c r="C65" s="84" t="s">
        <v>11</v>
      </c>
      <c r="D65" s="118" t="s">
        <v>17</v>
      </c>
      <c r="E65" s="119">
        <v>8</v>
      </c>
      <c r="F65" s="131" t="s">
        <v>64</v>
      </c>
      <c r="G65" s="121"/>
      <c r="H65" s="121"/>
      <c r="I65" s="121"/>
      <c r="J65" s="122"/>
      <c r="K65" s="122"/>
      <c r="L65" s="122"/>
    </row>
    <row r="66" spans="1:12" ht="18" customHeight="1" x14ac:dyDescent="0.2">
      <c r="A66" s="46"/>
      <c r="B66" s="47"/>
      <c r="C66" s="130"/>
      <c r="D66" s="109"/>
      <c r="E66" s="110"/>
      <c r="F66" s="114" t="s">
        <v>64</v>
      </c>
      <c r="G66" s="112"/>
      <c r="H66" s="112"/>
      <c r="I66" s="112"/>
      <c r="J66" s="113"/>
      <c r="K66" s="113"/>
      <c r="L66" s="113"/>
    </row>
    <row r="67" spans="1:12" ht="18" customHeight="1" x14ac:dyDescent="0.2">
      <c r="A67" s="62">
        <v>10</v>
      </c>
      <c r="B67" s="63">
        <v>10</v>
      </c>
      <c r="C67" s="84" t="s">
        <v>11</v>
      </c>
      <c r="D67" s="125" t="s">
        <v>18</v>
      </c>
      <c r="E67" s="126">
        <v>9</v>
      </c>
      <c r="F67" s="132" t="s">
        <v>64</v>
      </c>
      <c r="G67" s="128"/>
      <c r="H67" s="128"/>
      <c r="I67" s="128"/>
      <c r="J67" s="129"/>
      <c r="K67" s="129"/>
      <c r="L67" s="129"/>
    </row>
    <row r="68" spans="1:12" ht="18" customHeight="1" x14ac:dyDescent="0.2">
      <c r="A68" s="46"/>
      <c r="B68" s="47"/>
      <c r="C68" s="130"/>
      <c r="D68" s="109"/>
      <c r="E68" s="110"/>
      <c r="F68" s="114" t="s">
        <v>64</v>
      </c>
      <c r="G68" s="112"/>
      <c r="H68" s="112"/>
      <c r="I68" s="112"/>
      <c r="J68" s="113"/>
      <c r="K68" s="113"/>
      <c r="L68" s="113"/>
    </row>
    <row r="69" spans="1:12" ht="18" customHeight="1" x14ac:dyDescent="0.2">
      <c r="A69" s="62">
        <v>11</v>
      </c>
      <c r="B69" s="63">
        <v>11</v>
      </c>
      <c r="C69" s="84" t="s">
        <v>11</v>
      </c>
      <c r="D69" s="125" t="s">
        <v>19</v>
      </c>
      <c r="E69" s="126">
        <v>2</v>
      </c>
      <c r="F69" s="127" t="s">
        <v>135</v>
      </c>
      <c r="G69" s="128"/>
      <c r="H69" s="128"/>
      <c r="I69" s="128"/>
      <c r="J69" s="129"/>
      <c r="K69" s="129"/>
      <c r="L69" s="129"/>
    </row>
    <row r="70" spans="1:12" ht="18" customHeight="1" x14ac:dyDescent="0.2">
      <c r="A70" s="46"/>
      <c r="B70" s="47"/>
      <c r="C70" s="130"/>
      <c r="D70" s="109"/>
      <c r="E70" s="110"/>
      <c r="F70" s="111" t="s">
        <v>136</v>
      </c>
      <c r="G70" s="112"/>
      <c r="H70" s="112"/>
      <c r="I70" s="112"/>
      <c r="J70" s="113"/>
      <c r="K70" s="113"/>
      <c r="L70" s="113"/>
    </row>
    <row r="71" spans="1:12" ht="18" customHeight="1" x14ac:dyDescent="0.2">
      <c r="A71" s="46">
        <v>12</v>
      </c>
      <c r="B71" s="47">
        <v>12</v>
      </c>
      <c r="C71" s="84" t="s">
        <v>11</v>
      </c>
      <c r="D71" s="109" t="s">
        <v>20</v>
      </c>
      <c r="E71" s="110">
        <v>8</v>
      </c>
      <c r="F71" s="114" t="s">
        <v>64</v>
      </c>
      <c r="G71" s="112"/>
      <c r="H71" s="112"/>
      <c r="I71" s="112"/>
      <c r="J71" s="113"/>
      <c r="K71" s="113"/>
      <c r="L71" s="113"/>
    </row>
    <row r="72" spans="1:12" ht="18" customHeight="1" x14ac:dyDescent="0.2">
      <c r="A72" s="58">
        <v>13</v>
      </c>
      <c r="B72" s="59">
        <v>13</v>
      </c>
      <c r="C72" s="84" t="s">
        <v>11</v>
      </c>
      <c r="D72" s="118" t="s">
        <v>21</v>
      </c>
      <c r="E72" s="119">
        <v>6</v>
      </c>
      <c r="F72" s="131" t="s">
        <v>64</v>
      </c>
      <c r="G72" s="121"/>
      <c r="H72" s="121"/>
      <c r="I72" s="121"/>
      <c r="J72" s="122"/>
      <c r="K72" s="122"/>
      <c r="L72" s="122"/>
    </row>
    <row r="73" spans="1:12" ht="18" customHeight="1" x14ac:dyDescent="0.2">
      <c r="A73" s="46"/>
      <c r="B73" s="47"/>
      <c r="C73" s="130"/>
      <c r="D73" s="109"/>
      <c r="E73" s="110"/>
      <c r="F73" s="114" t="s">
        <v>64</v>
      </c>
      <c r="G73" s="112"/>
      <c r="H73" s="112"/>
      <c r="I73" s="112"/>
      <c r="J73" s="113"/>
      <c r="K73" s="113"/>
      <c r="L73" s="113"/>
    </row>
    <row r="74" spans="1:12" ht="18" customHeight="1" x14ac:dyDescent="0.2">
      <c r="A74" s="133">
        <v>14</v>
      </c>
      <c r="B74" s="134">
        <v>14</v>
      </c>
      <c r="C74" s="89" t="s">
        <v>22</v>
      </c>
      <c r="D74" s="135" t="s">
        <v>23</v>
      </c>
      <c r="E74" s="54" t="s">
        <v>192</v>
      </c>
      <c r="F74" s="116" t="s">
        <v>281</v>
      </c>
      <c r="G74" s="117"/>
      <c r="H74" s="117"/>
      <c r="I74" s="117"/>
      <c r="J74" s="117"/>
      <c r="K74" s="117"/>
      <c r="L74" s="117"/>
    </row>
    <row r="75" spans="1:12" ht="18" customHeight="1" x14ac:dyDescent="0.2">
      <c r="A75" s="115">
        <v>15</v>
      </c>
      <c r="B75" s="28">
        <v>15</v>
      </c>
      <c r="C75" s="89" t="s">
        <v>22</v>
      </c>
      <c r="D75" s="29" t="s">
        <v>24</v>
      </c>
      <c r="E75" s="54" t="s">
        <v>192</v>
      </c>
      <c r="F75" s="116" t="s">
        <v>281</v>
      </c>
      <c r="G75" s="117"/>
      <c r="H75" s="117"/>
      <c r="I75" s="117"/>
      <c r="J75" s="117"/>
      <c r="K75" s="117"/>
      <c r="L75" s="117"/>
    </row>
    <row r="76" spans="1:12" ht="18" customHeight="1" x14ac:dyDescent="0.2">
      <c r="A76" s="133">
        <v>16</v>
      </c>
      <c r="B76" s="134">
        <v>16</v>
      </c>
      <c r="C76" s="89" t="s">
        <v>22</v>
      </c>
      <c r="D76" s="135" t="s">
        <v>25</v>
      </c>
      <c r="E76" s="54" t="s">
        <v>192</v>
      </c>
      <c r="F76" s="116" t="s">
        <v>281</v>
      </c>
      <c r="G76" s="117"/>
      <c r="H76" s="117"/>
      <c r="I76" s="117"/>
      <c r="J76" s="117"/>
      <c r="K76" s="117"/>
      <c r="L76" s="117"/>
    </row>
    <row r="77" spans="1:12" ht="18" customHeight="1" x14ac:dyDescent="0.2">
      <c r="A77" s="58">
        <v>17</v>
      </c>
      <c r="B77" s="59">
        <v>17</v>
      </c>
      <c r="C77" s="89" t="s">
        <v>22</v>
      </c>
      <c r="D77" s="118" t="s">
        <v>26</v>
      </c>
      <c r="E77" s="119">
        <v>4</v>
      </c>
      <c r="F77" s="120" t="s">
        <v>143</v>
      </c>
      <c r="G77" s="121"/>
      <c r="H77" s="121"/>
      <c r="I77" s="121"/>
      <c r="J77" s="122"/>
      <c r="K77" s="122"/>
      <c r="L77" s="122"/>
    </row>
    <row r="78" spans="1:12" ht="18" customHeight="1" x14ac:dyDescent="0.2">
      <c r="A78" s="58"/>
      <c r="B78" s="59"/>
      <c r="C78" s="136"/>
      <c r="D78" s="118"/>
      <c r="E78" s="119"/>
      <c r="F78" s="120" t="s">
        <v>144</v>
      </c>
      <c r="G78" s="121"/>
      <c r="H78" s="121"/>
      <c r="I78" s="121"/>
      <c r="J78" s="122"/>
      <c r="K78" s="122"/>
      <c r="L78" s="122"/>
    </row>
    <row r="79" spans="1:12" ht="18" customHeight="1" x14ac:dyDescent="0.2">
      <c r="A79" s="46"/>
      <c r="B79" s="47"/>
      <c r="C79" s="137"/>
      <c r="D79" s="109"/>
      <c r="E79" s="110"/>
      <c r="F79" s="111" t="s">
        <v>145</v>
      </c>
      <c r="G79" s="112"/>
      <c r="H79" s="112"/>
      <c r="I79" s="112"/>
      <c r="J79" s="113"/>
      <c r="K79" s="113"/>
      <c r="L79" s="113"/>
    </row>
    <row r="80" spans="1:12" ht="18" customHeight="1" x14ac:dyDescent="0.2">
      <c r="A80" s="46"/>
      <c r="B80" s="47"/>
      <c r="C80" s="137"/>
      <c r="D80" s="109"/>
      <c r="E80" s="110"/>
      <c r="F80" s="111" t="s">
        <v>146</v>
      </c>
      <c r="G80" s="112"/>
      <c r="H80" s="112"/>
      <c r="I80" s="112"/>
      <c r="J80" s="113"/>
      <c r="K80" s="113"/>
      <c r="L80" s="113"/>
    </row>
    <row r="81" spans="1:12" ht="18" customHeight="1" x14ac:dyDescent="0.2">
      <c r="A81" s="133">
        <v>18</v>
      </c>
      <c r="B81" s="134">
        <v>18</v>
      </c>
      <c r="C81" s="89" t="s">
        <v>22</v>
      </c>
      <c r="D81" s="135" t="s">
        <v>27</v>
      </c>
      <c r="E81" s="54" t="s">
        <v>192</v>
      </c>
      <c r="F81" s="116" t="s">
        <v>281</v>
      </c>
      <c r="G81" s="117"/>
      <c r="H81" s="117"/>
      <c r="I81" s="117"/>
      <c r="J81" s="117"/>
      <c r="K81" s="117"/>
      <c r="L81" s="117"/>
    </row>
    <row r="82" spans="1:12" ht="18" customHeight="1" x14ac:dyDescent="0.2">
      <c r="A82" s="115">
        <v>19</v>
      </c>
      <c r="B82" s="28">
        <v>19</v>
      </c>
      <c r="C82" s="89" t="s">
        <v>22</v>
      </c>
      <c r="D82" s="29" t="s">
        <v>28</v>
      </c>
      <c r="E82" s="54" t="s">
        <v>192</v>
      </c>
      <c r="F82" s="116" t="s">
        <v>281</v>
      </c>
      <c r="G82" s="117"/>
      <c r="H82" s="117"/>
      <c r="I82" s="117"/>
      <c r="J82" s="117"/>
      <c r="K82" s="117"/>
      <c r="L82" s="117"/>
    </row>
    <row r="83" spans="1:12" ht="18" customHeight="1" x14ac:dyDescent="0.2">
      <c r="A83" s="62">
        <v>20</v>
      </c>
      <c r="B83" s="63">
        <v>20</v>
      </c>
      <c r="C83" s="89" t="s">
        <v>22</v>
      </c>
      <c r="D83" s="125" t="s">
        <v>29</v>
      </c>
      <c r="E83" s="126">
        <v>1</v>
      </c>
      <c r="F83" s="127" t="s">
        <v>150</v>
      </c>
      <c r="G83" s="128"/>
      <c r="H83" s="128"/>
      <c r="I83" s="128"/>
      <c r="J83" s="129"/>
      <c r="K83" s="129"/>
      <c r="L83" s="129"/>
    </row>
    <row r="84" spans="1:12" ht="18" customHeight="1" x14ac:dyDescent="0.2">
      <c r="A84" s="62">
        <v>21</v>
      </c>
      <c r="B84" s="63">
        <v>21</v>
      </c>
      <c r="C84" s="89" t="s">
        <v>22</v>
      </c>
      <c r="D84" s="125" t="s">
        <v>30</v>
      </c>
      <c r="E84" s="126">
        <v>1</v>
      </c>
      <c r="F84" s="127" t="s">
        <v>152</v>
      </c>
      <c r="G84" s="128"/>
      <c r="H84" s="128"/>
      <c r="I84" s="128"/>
      <c r="J84" s="129"/>
      <c r="K84" s="129"/>
      <c r="L84" s="129"/>
    </row>
    <row r="85" spans="1:12" ht="18" customHeight="1" x14ac:dyDescent="0.2">
      <c r="A85" s="58">
        <v>22</v>
      </c>
      <c r="B85" s="59">
        <v>22</v>
      </c>
      <c r="C85" s="89" t="s">
        <v>22</v>
      </c>
      <c r="D85" s="118" t="s">
        <v>31</v>
      </c>
      <c r="E85" s="119">
        <v>17</v>
      </c>
      <c r="F85" s="131" t="s">
        <v>64</v>
      </c>
      <c r="G85" s="121"/>
      <c r="H85" s="121"/>
      <c r="I85" s="121"/>
      <c r="J85" s="122"/>
      <c r="K85" s="122"/>
      <c r="L85" s="122"/>
    </row>
    <row r="86" spans="1:12" ht="18" customHeight="1" x14ac:dyDescent="0.2">
      <c r="A86" s="62"/>
      <c r="B86" s="63"/>
      <c r="C86" s="138"/>
      <c r="D86" s="125"/>
      <c r="E86" s="126"/>
      <c r="F86" s="132" t="s">
        <v>64</v>
      </c>
      <c r="G86" s="128"/>
      <c r="H86" s="128"/>
      <c r="I86" s="128"/>
      <c r="J86" s="129"/>
      <c r="K86" s="129"/>
      <c r="L86" s="129"/>
    </row>
    <row r="87" spans="1:12" ht="18" customHeight="1" x14ac:dyDescent="0.2">
      <c r="A87" s="46"/>
      <c r="B87" s="47"/>
      <c r="C87" s="137"/>
      <c r="D87" s="109"/>
      <c r="E87" s="110"/>
      <c r="F87" s="114" t="s">
        <v>64</v>
      </c>
      <c r="G87" s="112"/>
      <c r="H87" s="112"/>
      <c r="I87" s="112"/>
      <c r="J87" s="113"/>
      <c r="K87" s="113"/>
      <c r="L87" s="113"/>
    </row>
    <row r="88" spans="1:12" ht="18" customHeight="1" x14ac:dyDescent="0.2">
      <c r="A88" s="115">
        <v>23</v>
      </c>
      <c r="B88" s="28">
        <v>23</v>
      </c>
      <c r="C88" s="89" t="s">
        <v>22</v>
      </c>
      <c r="D88" s="29" t="s">
        <v>32</v>
      </c>
      <c r="E88" s="54" t="s">
        <v>192</v>
      </c>
      <c r="F88" s="116" t="s">
        <v>281</v>
      </c>
      <c r="G88" s="117"/>
      <c r="H88" s="117"/>
      <c r="I88" s="117"/>
      <c r="J88" s="117"/>
      <c r="K88" s="117"/>
      <c r="L88" s="117"/>
    </row>
    <row r="89" spans="1:12" ht="18" customHeight="1" x14ac:dyDescent="0.2">
      <c r="A89" s="133">
        <v>24</v>
      </c>
      <c r="B89" s="134">
        <v>24</v>
      </c>
      <c r="C89" s="89" t="s">
        <v>22</v>
      </c>
      <c r="D89" s="135" t="s">
        <v>33</v>
      </c>
      <c r="E89" s="54" t="s">
        <v>192</v>
      </c>
      <c r="F89" s="116" t="s">
        <v>281</v>
      </c>
      <c r="G89" s="117"/>
      <c r="H89" s="117"/>
      <c r="I89" s="117"/>
      <c r="J89" s="117"/>
      <c r="K89" s="117"/>
      <c r="L89" s="117"/>
    </row>
    <row r="90" spans="1:12" ht="18" customHeight="1" x14ac:dyDescent="0.2">
      <c r="A90" s="115">
        <v>25</v>
      </c>
      <c r="B90" s="28">
        <v>25</v>
      </c>
      <c r="C90" s="89" t="s">
        <v>22</v>
      </c>
      <c r="D90" s="29" t="s">
        <v>34</v>
      </c>
      <c r="E90" s="54" t="s">
        <v>192</v>
      </c>
      <c r="F90" s="116" t="s">
        <v>281</v>
      </c>
      <c r="G90" s="117"/>
      <c r="H90" s="117"/>
      <c r="I90" s="117"/>
      <c r="J90" s="117"/>
      <c r="K90" s="117"/>
      <c r="L90" s="117"/>
    </row>
    <row r="91" spans="1:12" ht="18" customHeight="1" x14ac:dyDescent="0.2">
      <c r="A91" s="46">
        <v>26</v>
      </c>
      <c r="B91" s="47">
        <v>26</v>
      </c>
      <c r="C91" s="90" t="s">
        <v>35</v>
      </c>
      <c r="D91" s="109" t="s">
        <v>36</v>
      </c>
      <c r="E91" s="110">
        <v>1</v>
      </c>
      <c r="F91" s="114" t="s">
        <v>64</v>
      </c>
      <c r="G91" s="112"/>
      <c r="H91" s="112"/>
      <c r="I91" s="112"/>
      <c r="J91" s="113"/>
      <c r="K91" s="113"/>
      <c r="L91" s="113"/>
    </row>
    <row r="92" spans="1:12" ht="18" customHeight="1" x14ac:dyDescent="0.2">
      <c r="A92" s="115">
        <v>27</v>
      </c>
      <c r="B92" s="28">
        <v>27</v>
      </c>
      <c r="C92" s="90" t="s">
        <v>35</v>
      </c>
      <c r="D92" s="29" t="s">
        <v>37</v>
      </c>
      <c r="E92" s="54" t="s">
        <v>192</v>
      </c>
      <c r="F92" s="116" t="s">
        <v>281</v>
      </c>
      <c r="G92" s="117"/>
      <c r="H92" s="117"/>
      <c r="I92" s="117"/>
      <c r="J92" s="117"/>
      <c r="K92" s="117"/>
      <c r="L92" s="117"/>
    </row>
    <row r="93" spans="1:12" ht="18" customHeight="1" x14ac:dyDescent="0.2">
      <c r="A93" s="46">
        <v>28</v>
      </c>
      <c r="B93" s="47">
        <v>28</v>
      </c>
      <c r="C93" s="90" t="s">
        <v>35</v>
      </c>
      <c r="D93" s="109" t="s">
        <v>38</v>
      </c>
      <c r="E93" s="110">
        <v>1</v>
      </c>
      <c r="F93" s="114" t="s">
        <v>64</v>
      </c>
      <c r="G93" s="112"/>
      <c r="H93" s="112"/>
      <c r="I93" s="112"/>
      <c r="J93" s="113"/>
      <c r="K93" s="113"/>
      <c r="L93" s="113"/>
    </row>
    <row r="94" spans="1:12" ht="18" customHeight="1" x14ac:dyDescent="0.2">
      <c r="A94" s="46">
        <v>29</v>
      </c>
      <c r="B94" s="47">
        <v>29</v>
      </c>
      <c r="C94" s="90" t="s">
        <v>35</v>
      </c>
      <c r="D94" s="109" t="s">
        <v>39</v>
      </c>
      <c r="E94" s="110">
        <v>1</v>
      </c>
      <c r="F94" s="114" t="s">
        <v>64</v>
      </c>
      <c r="G94" s="112"/>
      <c r="H94" s="112"/>
      <c r="I94" s="112"/>
      <c r="J94" s="113"/>
      <c r="K94" s="113"/>
      <c r="L94" s="113"/>
    </row>
    <row r="95" spans="1:12" ht="18" customHeight="1" x14ac:dyDescent="0.2">
      <c r="A95" s="46">
        <v>30</v>
      </c>
      <c r="B95" s="47">
        <v>30</v>
      </c>
      <c r="C95" s="90" t="s">
        <v>35</v>
      </c>
      <c r="D95" s="109" t="s">
        <v>40</v>
      </c>
      <c r="E95" s="110">
        <v>4</v>
      </c>
      <c r="F95" s="111" t="s">
        <v>162</v>
      </c>
      <c r="G95" s="112"/>
      <c r="H95" s="112"/>
      <c r="I95" s="112"/>
      <c r="J95" s="113"/>
      <c r="K95" s="113"/>
      <c r="L95" s="113"/>
    </row>
    <row r="96" spans="1:12" ht="18" customHeight="1" x14ac:dyDescent="0.2">
      <c r="A96" s="46"/>
      <c r="B96" s="47"/>
      <c r="C96" s="139"/>
      <c r="D96" s="109"/>
      <c r="E96" s="110"/>
      <c r="F96" s="111" t="s">
        <v>163</v>
      </c>
      <c r="G96" s="112"/>
      <c r="H96" s="112"/>
      <c r="I96" s="112"/>
      <c r="J96" s="113"/>
      <c r="K96" s="113"/>
      <c r="L96" s="113"/>
    </row>
    <row r="97" spans="1:12" ht="18" customHeight="1" x14ac:dyDescent="0.2">
      <c r="A97" s="46"/>
      <c r="B97" s="47"/>
      <c r="C97" s="139"/>
      <c r="D97" s="109"/>
      <c r="E97" s="110"/>
      <c r="F97" s="111" t="s">
        <v>164</v>
      </c>
      <c r="G97" s="112"/>
      <c r="H97" s="112"/>
      <c r="I97" s="112"/>
      <c r="J97" s="113"/>
      <c r="K97" s="113"/>
      <c r="L97" s="113"/>
    </row>
    <row r="98" spans="1:12" ht="18" customHeight="1" x14ac:dyDescent="0.2">
      <c r="A98" s="46"/>
      <c r="B98" s="47"/>
      <c r="C98" s="139"/>
      <c r="D98" s="109"/>
      <c r="E98" s="110"/>
      <c r="F98" s="111" t="s">
        <v>165</v>
      </c>
      <c r="G98" s="112"/>
      <c r="H98" s="112"/>
      <c r="I98" s="112"/>
      <c r="J98" s="113"/>
      <c r="K98" s="113"/>
      <c r="L98" s="113"/>
    </row>
    <row r="99" spans="1:12" ht="18" customHeight="1" x14ac:dyDescent="0.2">
      <c r="A99" s="46">
        <v>31</v>
      </c>
      <c r="B99" s="47">
        <v>31</v>
      </c>
      <c r="C99" s="90" t="s">
        <v>35</v>
      </c>
      <c r="D99" s="109" t="s">
        <v>41</v>
      </c>
      <c r="E99" s="110">
        <v>2</v>
      </c>
      <c r="F99" s="111" t="s">
        <v>167</v>
      </c>
      <c r="G99" s="112"/>
      <c r="H99" s="112"/>
      <c r="I99" s="112"/>
      <c r="J99" s="113"/>
      <c r="K99" s="113"/>
      <c r="L99" s="113"/>
    </row>
    <row r="100" spans="1:12" ht="18" customHeight="1" x14ac:dyDescent="0.2">
      <c r="A100" s="46"/>
      <c r="B100" s="47"/>
      <c r="C100" s="139"/>
      <c r="D100" s="109"/>
      <c r="E100" s="110"/>
      <c r="F100" s="111" t="s">
        <v>168</v>
      </c>
      <c r="G100" s="112"/>
      <c r="H100" s="112"/>
      <c r="I100" s="112"/>
      <c r="J100" s="113"/>
      <c r="K100" s="113"/>
      <c r="L100" s="113"/>
    </row>
    <row r="101" spans="1:12" ht="18" customHeight="1" x14ac:dyDescent="0.2">
      <c r="A101" s="46">
        <v>32</v>
      </c>
      <c r="B101" s="47">
        <v>32</v>
      </c>
      <c r="C101" s="90" t="s">
        <v>35</v>
      </c>
      <c r="D101" s="109" t="s">
        <v>42</v>
      </c>
      <c r="E101" s="110">
        <v>3</v>
      </c>
      <c r="F101" s="114" t="s">
        <v>64</v>
      </c>
      <c r="G101" s="112"/>
      <c r="H101" s="112"/>
      <c r="I101" s="112"/>
      <c r="J101" s="113"/>
      <c r="K101" s="113"/>
      <c r="L101" s="113"/>
    </row>
    <row r="102" spans="1:12" ht="18" customHeight="1" x14ac:dyDescent="0.2">
      <c r="A102" s="46">
        <v>33</v>
      </c>
      <c r="B102" s="47">
        <v>33</v>
      </c>
      <c r="C102" s="91" t="s">
        <v>43</v>
      </c>
      <c r="D102" s="109" t="s">
        <v>44</v>
      </c>
      <c r="E102" s="110">
        <v>2</v>
      </c>
      <c r="F102" s="111" t="s">
        <v>171</v>
      </c>
      <c r="G102" s="112"/>
      <c r="H102" s="112"/>
      <c r="I102" s="112"/>
      <c r="J102" s="113"/>
      <c r="K102" s="113"/>
      <c r="L102" s="113"/>
    </row>
    <row r="103" spans="1:12" ht="18" customHeight="1" x14ac:dyDescent="0.2">
      <c r="A103" s="46"/>
      <c r="B103" s="47"/>
      <c r="C103" s="140"/>
      <c r="D103" s="109"/>
      <c r="E103" s="110"/>
      <c r="F103" s="111" t="s">
        <v>172</v>
      </c>
      <c r="G103" s="112"/>
      <c r="H103" s="112"/>
      <c r="I103" s="112"/>
      <c r="J103" s="113"/>
      <c r="K103" s="113"/>
      <c r="L103" s="113"/>
    </row>
    <row r="104" spans="1:12" ht="18" customHeight="1" x14ac:dyDescent="0.2">
      <c r="A104" s="46">
        <v>34</v>
      </c>
      <c r="B104" s="47">
        <v>34</v>
      </c>
      <c r="C104" s="91" t="s">
        <v>43</v>
      </c>
      <c r="D104" s="109" t="s">
        <v>45</v>
      </c>
      <c r="E104" s="110">
        <v>2</v>
      </c>
      <c r="F104" s="111" t="s">
        <v>174</v>
      </c>
      <c r="G104" s="112"/>
      <c r="H104" s="112"/>
      <c r="I104" s="112"/>
      <c r="J104" s="113"/>
      <c r="K104" s="113"/>
      <c r="L104" s="113"/>
    </row>
    <row r="105" spans="1:12" ht="18" customHeight="1" x14ac:dyDescent="0.2">
      <c r="A105" s="46"/>
      <c r="B105" s="47"/>
      <c r="C105" s="140"/>
      <c r="D105" s="109"/>
      <c r="E105" s="110"/>
      <c r="F105" s="111" t="s">
        <v>175</v>
      </c>
      <c r="G105" s="112"/>
      <c r="H105" s="112"/>
      <c r="I105" s="112"/>
      <c r="J105" s="113"/>
      <c r="K105" s="113"/>
      <c r="L105" s="113"/>
    </row>
    <row r="106" spans="1:12" ht="18" customHeight="1" x14ac:dyDescent="0.2">
      <c r="A106" s="115">
        <v>35</v>
      </c>
      <c r="B106" s="28">
        <v>35</v>
      </c>
      <c r="C106" s="91" t="s">
        <v>43</v>
      </c>
      <c r="D106" s="29" t="s">
        <v>46</v>
      </c>
      <c r="E106" s="54" t="s">
        <v>192</v>
      </c>
      <c r="F106" s="116" t="s">
        <v>281</v>
      </c>
      <c r="G106" s="117"/>
      <c r="H106" s="117"/>
      <c r="I106" s="117"/>
      <c r="J106" s="117"/>
      <c r="K106" s="117"/>
      <c r="L106" s="117"/>
    </row>
    <row r="107" spans="1:12" ht="9.75" customHeight="1" x14ac:dyDescent="0.2"/>
    <row r="108" spans="1:12" ht="27.75" customHeight="1" x14ac:dyDescent="0.2">
      <c r="A108" s="149" t="s">
        <v>282</v>
      </c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</row>
    <row r="109" spans="1:12" ht="49.5" customHeight="1" x14ac:dyDescent="0.2">
      <c r="A109" s="150" t="s">
        <v>283</v>
      </c>
      <c r="B109" s="150"/>
      <c r="C109" s="150"/>
      <c r="D109" s="150"/>
      <c r="E109" s="150" t="s">
        <v>284</v>
      </c>
      <c r="F109" s="150"/>
      <c r="G109" s="150"/>
      <c r="H109" s="150"/>
      <c r="I109" s="150" t="s">
        <v>285</v>
      </c>
      <c r="J109" s="150"/>
      <c r="K109" s="150"/>
      <c r="L109" s="150"/>
    </row>
  </sheetData>
  <mergeCells count="15">
    <mergeCell ref="A109:D109"/>
    <mergeCell ref="E109:H109"/>
    <mergeCell ref="I109:L109"/>
    <mergeCell ref="C6:F6"/>
    <mergeCell ref="C7:F7"/>
    <mergeCell ref="C8:F8"/>
    <mergeCell ref="C9:F9"/>
    <mergeCell ref="A108:L108"/>
    <mergeCell ref="A1:L1"/>
    <mergeCell ref="C4:F4"/>
    <mergeCell ref="H4:J4"/>
    <mergeCell ref="K4:L4"/>
    <mergeCell ref="C5:F5"/>
    <mergeCell ref="H5:J5"/>
    <mergeCell ref="K5:L5"/>
  </mergeCells>
  <dataValidations count="3">
    <dataValidation type="list" allowBlank="1" sqref="G12:G111" xr:uid="{00000000-0002-0000-0700-000000000000}">
      <formula1>"Good,Damaged,Missing,Lost"</formula1>
      <formula2>0</formula2>
    </dataValidation>
    <dataValidation type="list" allowBlank="1" sqref="H12:H111" xr:uid="{00000000-0002-0000-0700-000001000000}">
      <formula1>"Return to Stock,Transfer to Project,Dispose,Keep in Store"</formula1>
      <formula2>0</formula2>
    </dataValidation>
    <dataValidation type="list" allowBlank="1" sqref="I12:I111" xr:uid="{00000000-0002-0000-0700-000002000000}">
      <formula1>"Main Inventory,North Copenhagen,GVX 03 - Gavle,Conapto S4,New Project"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Inventory</vt:lpstr>
      <vt:lpstr>Item ID Details</vt:lpstr>
      <vt:lpstr>North Copenhagen</vt:lpstr>
      <vt:lpstr>GVX 03 - Gavle</vt:lpstr>
      <vt:lpstr>Conapto S4</vt:lpstr>
      <vt:lpstr>New Project Template</vt:lpstr>
      <vt:lpstr>Transfer Log</vt:lpstr>
      <vt:lpstr>Hand Over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Avishka Ranasinghe</cp:lastModifiedBy>
  <cp:revision>0</cp:revision>
  <dcterms:created xsi:type="dcterms:W3CDTF">2026-05-27T14:27:04Z</dcterms:created>
  <dcterms:modified xsi:type="dcterms:W3CDTF">2026-05-27T16:43:47Z</dcterms:modified>
  <dc:language>en-US</dc:language>
</cp:coreProperties>
</file>